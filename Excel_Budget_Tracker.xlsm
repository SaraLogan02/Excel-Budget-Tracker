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b948a7b390f0ffc/Documents/Professional Documents/Portfolio Examples/Budget Spreadsheet Project/"/>
    </mc:Choice>
  </mc:AlternateContent>
  <xr:revisionPtr revIDLastSave="464" documentId="8_{016818B7-66E5-472F-B050-01B567294D31}" xr6:coauthVersionLast="47" xr6:coauthVersionMax="47" xr10:uidLastSave="{6A35774F-80CD-48FE-8D66-10A05DF12B7D}"/>
  <bookViews>
    <workbookView xWindow="-108" yWindow="-108" windowWidth="23256" windowHeight="12456" tabRatio="660" xr2:uid="{B9C01C52-CB56-4F3E-88FD-90131BF79240}"/>
  </bookViews>
  <sheets>
    <sheet name="Monthly Budget" sheetId="24" r:id="rId1"/>
    <sheet name="Paycheck Budget" sheetId="25" r:id="rId2"/>
    <sheet name="Credit Cards" sheetId="5" r:id="rId3"/>
  </sheets>
  <definedNames>
    <definedName name="_xleta.FILTER" hidden="1" xlm="1">#NAME?</definedName>
    <definedName name="_xleta.SUM" hidden="1" xlm="1">#NAME?</definedName>
    <definedName name="Calendar1Month">#REF!</definedName>
    <definedName name="Calendar1MonthOption">MATCH(Calendar1Month,Months,0)</definedName>
    <definedName name="Calendar1Year">#REF!</definedName>
    <definedName name="Days">{0,1,2,3,4,5,6}</definedName>
    <definedName name="Months">{"January","February","March","April","May","June","July","August","September","October","November","December"}</definedName>
    <definedName name="WeekdayOption">MATCH(WeekStart,Weekdays,0)+10</definedName>
    <definedName name="Weekdays">{"Monday","Tuesday","Wednesday","Thursday","Friday","Saturday","Sunday"}</definedName>
    <definedName name="WeekStar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6" i="24" l="1"/>
  <c r="J3" i="5"/>
  <c r="J4" i="5"/>
  <c r="J5" i="5"/>
  <c r="J6" i="5"/>
  <c r="J8" i="5"/>
  <c r="J9" i="5"/>
  <c r="J10" i="5"/>
  <c r="J11" i="5"/>
  <c r="J12" i="5"/>
  <c r="J13" i="5"/>
  <c r="J14" i="5"/>
  <c r="J7" i="5"/>
  <c r="K4" i="5"/>
  <c r="K5" i="5"/>
  <c r="K6" i="5"/>
  <c r="K7" i="5"/>
  <c r="K8" i="5"/>
  <c r="K9" i="5"/>
  <c r="K10" i="5"/>
  <c r="K11" i="5"/>
  <c r="K12" i="5"/>
  <c r="K13" i="5"/>
  <c r="K14" i="5"/>
  <c r="K3" i="5"/>
  <c r="K26" i="24"/>
  <c r="S10" i="24" s="1"/>
  <c r="K17" i="25"/>
  <c r="N9" i="25" s="1"/>
  <c r="H26" i="25"/>
  <c r="N10" i="25" s="1"/>
  <c r="B36" i="5"/>
  <c r="B37" i="5"/>
  <c r="B38" i="5"/>
  <c r="K38" i="5" s="1"/>
  <c r="B42" i="5"/>
  <c r="B43" i="5"/>
  <c r="C30" i="5"/>
  <c r="B46" i="5" s="1"/>
  <c r="C29" i="5"/>
  <c r="B45" i="5" s="1"/>
  <c r="C28" i="5"/>
  <c r="B44" i="5" s="1"/>
  <c r="C27" i="5"/>
  <c r="C26" i="5"/>
  <c r="C25" i="5"/>
  <c r="B41" i="5" s="1"/>
  <c r="C24" i="5"/>
  <c r="B40" i="5" s="1"/>
  <c r="C23" i="5"/>
  <c r="B39" i="5" s="1"/>
  <c r="C22" i="5"/>
  <c r="C21" i="5"/>
  <c r="C20" i="5"/>
  <c r="C19" i="5"/>
  <c r="B35" i="5" s="1"/>
  <c r="B22" i="25"/>
  <c r="N7" i="25" s="1"/>
  <c r="E19" i="25"/>
  <c r="N8" i="25" s="1"/>
  <c r="O17" i="24"/>
  <c r="S9" i="24" s="1"/>
  <c r="N17" i="24"/>
  <c r="R9" i="24" s="1"/>
  <c r="J26" i="24"/>
  <c r="R10" i="24" s="1"/>
  <c r="G19" i="24"/>
  <c r="S8" i="24" s="1"/>
  <c r="F19" i="24"/>
  <c r="R8" i="24" s="1"/>
  <c r="C23" i="24"/>
  <c r="S7" i="24" s="1"/>
  <c r="B23" i="24"/>
  <c r="R7" i="24" s="1"/>
  <c r="F3" i="5"/>
  <c r="F4" i="5"/>
  <c r="F5" i="5"/>
  <c r="F6" i="5"/>
  <c r="F7" i="5"/>
  <c r="F8" i="5"/>
  <c r="F9" i="5"/>
  <c r="F10" i="5"/>
  <c r="F11" i="5"/>
  <c r="F12" i="5"/>
  <c r="F13" i="5"/>
  <c r="F14" i="5"/>
  <c r="B30" i="5"/>
  <c r="B29" i="5"/>
  <c r="B28" i="5"/>
  <c r="B27" i="5"/>
  <c r="B26" i="5"/>
  <c r="B25" i="5"/>
  <c r="B24" i="5"/>
  <c r="B23" i="5"/>
  <c r="B22" i="5"/>
  <c r="E22" i="5" s="1"/>
  <c r="B21" i="5"/>
  <c r="B20" i="5"/>
  <c r="B19" i="5"/>
  <c r="B4" i="5"/>
  <c r="B5" i="5"/>
  <c r="B6" i="5"/>
  <c r="B7" i="5"/>
  <c r="B8" i="5"/>
  <c r="B9" i="5"/>
  <c r="B10" i="5"/>
  <c r="B11" i="5"/>
  <c r="B12" i="5"/>
  <c r="B13" i="5"/>
  <c r="B14" i="5"/>
  <c r="B3" i="5"/>
  <c r="I15" i="5"/>
  <c r="C15" i="5"/>
  <c r="F15" i="5" s="1"/>
  <c r="D13" i="5"/>
  <c r="D14" i="5"/>
  <c r="D4" i="5"/>
  <c r="D7" i="5"/>
  <c r="D3" i="5"/>
  <c r="D6" i="5"/>
  <c r="D11" i="5"/>
  <c r="D10" i="5"/>
  <c r="D8" i="5"/>
  <c r="D9" i="5"/>
  <c r="D5" i="5"/>
  <c r="D12" i="5"/>
  <c r="H38" i="5"/>
  <c r="G38" i="5"/>
  <c r="F38" i="5"/>
  <c r="E38" i="5"/>
  <c r="D38" i="5"/>
  <c r="L22" i="5"/>
  <c r="K22" i="5"/>
  <c r="J22" i="5"/>
  <c r="I22" i="5"/>
  <c r="H22" i="5"/>
  <c r="G22" i="5"/>
  <c r="F22" i="5"/>
  <c r="D15" i="5" l="1"/>
  <c r="G14" i="5"/>
  <c r="I38" i="5"/>
  <c r="L38" i="5"/>
  <c r="N11" i="25"/>
  <c r="M16" i="25" s="1"/>
  <c r="J38" i="5"/>
  <c r="G3" i="5"/>
  <c r="G13" i="5"/>
  <c r="G12" i="5"/>
  <c r="G11" i="5"/>
  <c r="G9" i="5"/>
  <c r="G8" i="5"/>
  <c r="G6" i="5"/>
  <c r="G5" i="5"/>
  <c r="G4" i="5"/>
  <c r="G7" i="5"/>
  <c r="R11" i="24"/>
  <c r="S11" i="24"/>
  <c r="R16" i="24" s="1"/>
  <c r="G10" i="5"/>
  <c r="L46" i="5"/>
  <c r="K46" i="5"/>
  <c r="J46" i="5"/>
  <c r="I46" i="5"/>
  <c r="H46" i="5"/>
  <c r="G46" i="5"/>
  <c r="F46" i="5"/>
  <c r="E46" i="5"/>
  <c r="D46" i="5"/>
  <c r="E20" i="5"/>
  <c r="E21" i="5"/>
  <c r="E23" i="5"/>
  <c r="E24" i="5"/>
  <c r="E25" i="5"/>
  <c r="L6" i="5" s="1"/>
  <c r="E26" i="5"/>
  <c r="E27" i="5"/>
  <c r="E28" i="5"/>
  <c r="E29" i="5"/>
  <c r="I30" i="5"/>
  <c r="L24" i="5"/>
  <c r="K24" i="5"/>
  <c r="J24" i="5"/>
  <c r="I24" i="5"/>
  <c r="H24" i="5"/>
  <c r="G24" i="5"/>
  <c r="F24" i="5"/>
  <c r="F25" i="5"/>
  <c r="G25" i="5"/>
  <c r="H25" i="5"/>
  <c r="I25" i="5"/>
  <c r="J25" i="5"/>
  <c r="K25" i="5"/>
  <c r="L25" i="5"/>
  <c r="F26" i="5"/>
  <c r="G26" i="5"/>
  <c r="H26" i="5"/>
  <c r="I26" i="5"/>
  <c r="J26" i="5"/>
  <c r="K26" i="5"/>
  <c r="L26" i="5"/>
  <c r="D27" i="5"/>
  <c r="F27" i="5"/>
  <c r="G27" i="5"/>
  <c r="H27" i="5"/>
  <c r="I27" i="5"/>
  <c r="J27" i="5"/>
  <c r="K27" i="5"/>
  <c r="L27" i="5"/>
  <c r="F28" i="5"/>
  <c r="G28" i="5"/>
  <c r="H28" i="5"/>
  <c r="I28" i="5"/>
  <c r="J28" i="5"/>
  <c r="K28" i="5"/>
  <c r="L28" i="5"/>
  <c r="F29" i="5"/>
  <c r="G29" i="5"/>
  <c r="H29" i="5"/>
  <c r="I29" i="5"/>
  <c r="J29" i="5"/>
  <c r="K29" i="5"/>
  <c r="L29" i="5"/>
  <c r="L20" i="5"/>
  <c r="K20" i="5"/>
  <c r="J20" i="5"/>
  <c r="I20" i="5"/>
  <c r="H20" i="5"/>
  <c r="G20" i="5"/>
  <c r="F20" i="5"/>
  <c r="F21" i="5"/>
  <c r="G21" i="5"/>
  <c r="H21" i="5"/>
  <c r="I21" i="5"/>
  <c r="J21" i="5"/>
  <c r="K21" i="5"/>
  <c r="L21" i="5"/>
  <c r="F23" i="5"/>
  <c r="G23" i="5"/>
  <c r="H23" i="5"/>
  <c r="I23" i="5"/>
  <c r="J23" i="5"/>
  <c r="K23" i="5"/>
  <c r="L23" i="5"/>
  <c r="L40" i="5"/>
  <c r="K40" i="5"/>
  <c r="J40" i="5"/>
  <c r="I40" i="5"/>
  <c r="H40" i="5"/>
  <c r="G40" i="5"/>
  <c r="F40" i="5"/>
  <c r="E40" i="5"/>
  <c r="D40" i="5"/>
  <c r="D41" i="5"/>
  <c r="E41" i="5"/>
  <c r="F41" i="5"/>
  <c r="G41" i="5"/>
  <c r="H41" i="5"/>
  <c r="I41" i="5"/>
  <c r="J41" i="5"/>
  <c r="K41" i="5"/>
  <c r="L41" i="5"/>
  <c r="D42" i="5"/>
  <c r="E42" i="5"/>
  <c r="F42" i="5"/>
  <c r="G42" i="5"/>
  <c r="H42" i="5"/>
  <c r="I42" i="5"/>
  <c r="J42" i="5"/>
  <c r="K42" i="5"/>
  <c r="L42" i="5"/>
  <c r="D43" i="5"/>
  <c r="E43" i="5"/>
  <c r="F43" i="5"/>
  <c r="G43" i="5"/>
  <c r="H43" i="5"/>
  <c r="I43" i="5"/>
  <c r="J43" i="5"/>
  <c r="K43" i="5"/>
  <c r="L43" i="5"/>
  <c r="D44" i="5"/>
  <c r="E44" i="5"/>
  <c r="F44" i="5"/>
  <c r="G44" i="5"/>
  <c r="H44" i="5"/>
  <c r="I44" i="5"/>
  <c r="J44" i="5"/>
  <c r="K44" i="5"/>
  <c r="L44" i="5"/>
  <c r="D45" i="5"/>
  <c r="E45" i="5"/>
  <c r="F45" i="5"/>
  <c r="G45" i="5"/>
  <c r="H45" i="5"/>
  <c r="I45" i="5"/>
  <c r="J45" i="5"/>
  <c r="K45" i="5"/>
  <c r="L45" i="5"/>
  <c r="L36" i="5"/>
  <c r="K36" i="5"/>
  <c r="J36" i="5"/>
  <c r="I36" i="5"/>
  <c r="H36" i="5"/>
  <c r="G36" i="5"/>
  <c r="F36" i="5"/>
  <c r="E36" i="5"/>
  <c r="D36" i="5"/>
  <c r="D37" i="5"/>
  <c r="E37" i="5"/>
  <c r="F37" i="5"/>
  <c r="G37" i="5"/>
  <c r="H37" i="5"/>
  <c r="I37" i="5"/>
  <c r="J37" i="5"/>
  <c r="K37" i="5"/>
  <c r="L37" i="5"/>
  <c r="D39" i="5"/>
  <c r="E39" i="5"/>
  <c r="F39" i="5"/>
  <c r="G39" i="5"/>
  <c r="H39" i="5"/>
  <c r="I39" i="5"/>
  <c r="J39" i="5"/>
  <c r="K39" i="5"/>
  <c r="L39" i="5"/>
  <c r="E15" i="5"/>
  <c r="L35" i="5"/>
  <c r="K35" i="5"/>
  <c r="J35" i="5"/>
  <c r="I35" i="5"/>
  <c r="H35" i="5"/>
  <c r="G35" i="5"/>
  <c r="E35" i="5"/>
  <c r="F35" i="5"/>
  <c r="D35" i="5"/>
  <c r="G16" i="5" l="1"/>
  <c r="G15" i="5"/>
  <c r="L9" i="5"/>
  <c r="L8" i="5"/>
  <c r="L10" i="5"/>
  <c r="L11" i="5"/>
  <c r="L7" i="5"/>
  <c r="L4" i="5"/>
  <c r="L14" i="5"/>
  <c r="E30" i="5"/>
  <c r="L30" i="5"/>
  <c r="K30" i="5"/>
  <c r="J30" i="5"/>
  <c r="H30" i="5"/>
  <c r="G30" i="5"/>
  <c r="F30" i="5"/>
  <c r="C31" i="5" l="1"/>
  <c r="L19" i="5"/>
  <c r="K19" i="5"/>
  <c r="J19" i="5"/>
  <c r="I19" i="5"/>
  <c r="H19" i="5"/>
  <c r="G19" i="5"/>
  <c r="F19" i="5"/>
  <c r="L5" i="5" l="1"/>
  <c r="J15" i="5"/>
  <c r="E19" i="5"/>
  <c r="L3" i="5" s="1"/>
  <c r="L31" i="5"/>
  <c r="G31" i="5"/>
  <c r="H31" i="5"/>
  <c r="F31" i="5"/>
  <c r="I31" i="5"/>
  <c r="J31" i="5"/>
  <c r="K31" i="5"/>
  <c r="L13" i="5" l="1"/>
  <c r="B31" i="5"/>
  <c r="E31" i="5" s="1"/>
  <c r="L12" i="5" l="1"/>
</calcChain>
</file>

<file path=xl/sharedStrings.xml><?xml version="1.0" encoding="utf-8"?>
<sst xmlns="http://schemas.openxmlformats.org/spreadsheetml/2006/main" count="184" uniqueCount="69">
  <si>
    <t>Bills</t>
  </si>
  <si>
    <t>Monthly Budget</t>
  </si>
  <si>
    <t>Budget</t>
  </si>
  <si>
    <t>Actual</t>
  </si>
  <si>
    <t>Month</t>
  </si>
  <si>
    <t>Total Income</t>
  </si>
  <si>
    <t>Savings</t>
  </si>
  <si>
    <t>Total</t>
  </si>
  <si>
    <t>Debt</t>
  </si>
  <si>
    <t>Other Expenses</t>
  </si>
  <si>
    <t>Expense</t>
  </si>
  <si>
    <t>Summary</t>
  </si>
  <si>
    <t>Other</t>
  </si>
  <si>
    <t>Citibank</t>
  </si>
  <si>
    <t>Kohls</t>
  </si>
  <si>
    <t>Capital One</t>
  </si>
  <si>
    <t>PNC</t>
  </si>
  <si>
    <t>Merrick</t>
  </si>
  <si>
    <t>Carwash</t>
  </si>
  <si>
    <t>Hulu</t>
  </si>
  <si>
    <t>Spotify</t>
  </si>
  <si>
    <t>Emergency</t>
  </si>
  <si>
    <t>Sports</t>
  </si>
  <si>
    <t>Christmas</t>
  </si>
  <si>
    <t>Birthdays</t>
  </si>
  <si>
    <t>Vacation</t>
  </si>
  <si>
    <t>Gas</t>
  </si>
  <si>
    <t>Food</t>
  </si>
  <si>
    <t xml:space="preserve"> Income Left</t>
  </si>
  <si>
    <t>Rent</t>
  </si>
  <si>
    <t>Chase</t>
  </si>
  <si>
    <t>Credit Card</t>
  </si>
  <si>
    <t>Amount balance</t>
  </si>
  <si>
    <t>Available</t>
  </si>
  <si>
    <t>CareCredit</t>
  </si>
  <si>
    <t>Interest</t>
  </si>
  <si>
    <t>Min payment</t>
  </si>
  <si>
    <t>Balance</t>
  </si>
  <si>
    <t>Limit</t>
  </si>
  <si>
    <t>Interest Rate</t>
  </si>
  <si>
    <t>Current Utilization %</t>
  </si>
  <si>
    <t>Utilization Chart</t>
  </si>
  <si>
    <t>Credit Card Payment Breakdown</t>
  </si>
  <si>
    <t>Insurance</t>
  </si>
  <si>
    <t>Carwash 2</t>
  </si>
  <si>
    <t>Utilization</t>
  </si>
  <si>
    <t>Citi Diamond</t>
  </si>
  <si>
    <t>Debt Efficiency</t>
  </si>
  <si>
    <t>Priority Score</t>
  </si>
  <si>
    <t>30% Utilization Target</t>
  </si>
  <si>
    <t>Pay difference need to be at 30% Utilization</t>
  </si>
  <si>
    <t>Fixed Bills</t>
  </si>
  <si>
    <t>Credit Cards</t>
  </si>
  <si>
    <t>Paycheck Budget</t>
  </si>
  <si>
    <t>Paid</t>
  </si>
  <si>
    <t>A</t>
  </si>
  <si>
    <t>Car 1</t>
  </si>
  <si>
    <t>Personal Loan 1</t>
  </si>
  <si>
    <t>Personal Loan 2</t>
  </si>
  <si>
    <t>Student Loans</t>
  </si>
  <si>
    <t>Car 2</t>
  </si>
  <si>
    <t>Credit One Platinum</t>
  </si>
  <si>
    <t>Credit One 1</t>
  </si>
  <si>
    <t>Credit One 2</t>
  </si>
  <si>
    <t>Southwest Card</t>
  </si>
  <si>
    <t>Phone</t>
  </si>
  <si>
    <t>Carwash 1</t>
  </si>
  <si>
    <t>Min Payment Plus Estimated Interest</t>
  </si>
  <si>
    <t>October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</si>
</sst>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&quot;$&quot;#,##0.00"/>
    <numFmt numFmtId="165" formatCode="&quot;$&quot;#,##0.00;[Red]&quot;$&quot;#,##0.00"/>
    <numFmt numFmtId="166" formatCode="dd"/>
  </numFmts>
  <fonts count="2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Display"/>
      <family val="2"/>
      <scheme val="major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20"/>
      <color theme="1"/>
      <name val="Times New Roman"/>
      <family val="1"/>
    </font>
    <font>
      <b/>
      <sz val="11"/>
      <color theme="0"/>
      <name val="Times New Roman"/>
      <family val="1"/>
    </font>
    <font>
      <sz val="11"/>
      <color rgb="FFFF0000"/>
      <name val="Times New Roman"/>
      <family val="1"/>
    </font>
    <font>
      <b/>
      <sz val="11"/>
      <color rgb="FFFF0000"/>
      <name val="Times New Roman"/>
      <family val="1"/>
    </font>
    <font>
      <sz val="26"/>
      <color theme="1"/>
      <name val="Times New Roman"/>
      <family val="1"/>
    </font>
    <font>
      <sz val="11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1"/>
      <color theme="6"/>
      <name val="Times New Roman"/>
      <family val="1"/>
    </font>
    <font>
      <b/>
      <sz val="10"/>
      <name val="Times New Roman"/>
      <family val="1"/>
    </font>
    <font>
      <i/>
      <sz val="11"/>
      <name val="Times New Roman"/>
      <family val="1"/>
    </font>
    <font>
      <sz val="20"/>
      <color theme="1"/>
      <name val="Times New Roman"/>
      <family val="1"/>
    </font>
    <font>
      <sz val="16"/>
      <color theme="1"/>
      <name val="Times New Roman"/>
      <family val="1"/>
    </font>
    <font>
      <sz val="36"/>
      <color theme="1"/>
      <name val="Times New Roman"/>
      <family val="1"/>
    </font>
    <font>
      <sz val="14"/>
      <color theme="1"/>
      <name val="Times New Roman"/>
      <family val="1"/>
    </font>
    <font>
      <b/>
      <sz val="13"/>
      <color theme="1"/>
      <name val="Times New Roman"/>
      <family val="1"/>
    </font>
    <font>
      <b/>
      <sz val="13"/>
      <color theme="6"/>
      <name val="Times New Roman"/>
      <family val="1"/>
    </font>
    <font>
      <b/>
      <sz val="13"/>
      <color rgb="FFFF0000"/>
      <name val="Times New Roman"/>
      <family val="1"/>
    </font>
    <font>
      <b/>
      <sz val="13"/>
      <name val="Times New Roman"/>
      <family val="1"/>
    </font>
  </fonts>
  <fills count="2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A86D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E3EB8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8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theme="1"/>
      </top>
      <bottom style="medium">
        <color theme="1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medium">
        <color indexed="64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indexed="64"/>
      </left>
      <right style="thin">
        <color theme="4" tint="-0.249977111117893"/>
      </right>
      <top style="thin">
        <color theme="4" tint="-0.249977111117893"/>
      </top>
      <bottom style="medium">
        <color indexed="64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indexed="64"/>
      </bottom>
      <diagonal/>
    </border>
    <border>
      <left style="thin">
        <color theme="4" tint="-0.249977111117893"/>
      </left>
      <right style="medium">
        <color indexed="64"/>
      </right>
      <top style="thin">
        <color theme="4" tint="-0.249977111117893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medium">
        <color indexed="64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medium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medium">
        <color indexed="64"/>
      </right>
      <top style="thin">
        <color theme="2" tint="-0.499984740745262"/>
      </top>
      <bottom/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theme="2" tint="-0.499984740745262"/>
      </right>
      <top style="thin">
        <color theme="2" tint="-0.499984740745262"/>
      </top>
      <bottom style="medium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medium">
        <color indexed="64"/>
      </bottom>
      <diagonal/>
    </border>
    <border>
      <left/>
      <right/>
      <top style="thin">
        <color indexed="64"/>
      </top>
      <bottom style="thin">
        <color theme="2" tint="-0.499984740745262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166" fontId="3" fillId="0" borderId="28" applyFill="0" applyProtection="0">
      <alignment horizontal="left" vertical="center" wrapText="1" indent="1"/>
    </xf>
    <xf numFmtId="166" fontId="4" fillId="0" borderId="29" applyFill="0" applyProtection="0">
      <alignment horizontal="left" vertical="top" wrapText="1" indent="1"/>
    </xf>
  </cellStyleXfs>
  <cellXfs count="232">
    <xf numFmtId="0" fontId="0" fillId="0" borderId="0" xfId="0"/>
    <xf numFmtId="0" fontId="0" fillId="9" borderId="0" xfId="0" applyFill="1"/>
    <xf numFmtId="44" fontId="0" fillId="9" borderId="0" xfId="1" applyFont="1" applyFill="1"/>
    <xf numFmtId="164" fontId="2" fillId="9" borderId="0" xfId="0" applyNumberFormat="1" applyFont="1" applyFill="1"/>
    <xf numFmtId="0" fontId="5" fillId="9" borderId="0" xfId="0" applyFont="1" applyFill="1"/>
    <xf numFmtId="0" fontId="5" fillId="0" borderId="15" xfId="0" applyFont="1" applyBorder="1"/>
    <xf numFmtId="164" fontId="5" fillId="0" borderId="15" xfId="0" applyNumberFormat="1" applyFont="1" applyBorder="1"/>
    <xf numFmtId="0" fontId="5" fillId="0" borderId="21" xfId="0" applyFont="1" applyBorder="1"/>
    <xf numFmtId="164" fontId="5" fillId="0" borderId="21" xfId="0" applyNumberFormat="1" applyFont="1" applyBorder="1"/>
    <xf numFmtId="0" fontId="5" fillId="0" borderId="22" xfId="0" applyFont="1" applyBorder="1"/>
    <xf numFmtId="0" fontId="9" fillId="9" borderId="0" xfId="0" applyFont="1" applyFill="1" applyAlignment="1">
      <alignment horizontal="center" vertical="center"/>
    </xf>
    <xf numFmtId="44" fontId="5" fillId="9" borderId="0" xfId="1" applyFont="1" applyFill="1"/>
    <xf numFmtId="0" fontId="5" fillId="0" borderId="2" xfId="0" applyFont="1" applyBorder="1"/>
    <xf numFmtId="164" fontId="5" fillId="0" borderId="2" xfId="0" applyNumberFormat="1" applyFont="1" applyBorder="1"/>
    <xf numFmtId="164" fontId="5" fillId="9" borderId="0" xfId="0" applyNumberFormat="1" applyFont="1" applyFill="1"/>
    <xf numFmtId="0" fontId="7" fillId="12" borderId="10" xfId="0" applyFont="1" applyFill="1" applyBorder="1" applyAlignment="1">
      <alignment horizontal="center" wrapText="1"/>
    </xf>
    <xf numFmtId="0" fontId="7" fillId="12" borderId="11" xfId="0" applyFont="1" applyFill="1" applyBorder="1" applyAlignment="1">
      <alignment horizontal="center" wrapText="1"/>
    </xf>
    <xf numFmtId="10" fontId="5" fillId="11" borderId="30" xfId="0" applyNumberFormat="1" applyFont="1" applyFill="1" applyBorder="1"/>
    <xf numFmtId="164" fontId="5" fillId="11" borderId="31" xfId="0" applyNumberFormat="1" applyFont="1" applyFill="1" applyBorder="1"/>
    <xf numFmtId="10" fontId="5" fillId="11" borderId="1" xfId="0" applyNumberFormat="1" applyFont="1" applyFill="1" applyBorder="1"/>
    <xf numFmtId="164" fontId="5" fillId="11" borderId="5" xfId="0" applyNumberFormat="1" applyFont="1" applyFill="1" applyBorder="1"/>
    <xf numFmtId="164" fontId="5" fillId="11" borderId="15" xfId="0" applyNumberFormat="1" applyFont="1" applyFill="1" applyBorder="1"/>
    <xf numFmtId="10" fontId="5" fillId="11" borderId="33" xfId="0" applyNumberFormat="1" applyFont="1" applyFill="1" applyBorder="1"/>
    <xf numFmtId="164" fontId="5" fillId="11" borderId="32" xfId="0" applyNumberFormat="1" applyFont="1" applyFill="1" applyBorder="1"/>
    <xf numFmtId="10" fontId="5" fillId="0" borderId="1" xfId="0" applyNumberFormat="1" applyFont="1" applyBorder="1"/>
    <xf numFmtId="10" fontId="5" fillId="0" borderId="30" xfId="0" applyNumberFormat="1" applyFont="1" applyBorder="1"/>
    <xf numFmtId="10" fontId="5" fillId="0" borderId="1" xfId="1" applyNumberFormat="1" applyFont="1" applyBorder="1"/>
    <xf numFmtId="10" fontId="5" fillId="0" borderId="35" xfId="0" applyNumberFormat="1" applyFont="1" applyBorder="1"/>
    <xf numFmtId="9" fontId="7" fillId="6" borderId="38" xfId="0" applyNumberFormat="1" applyFont="1" applyFill="1" applyBorder="1" applyAlignment="1">
      <alignment horizontal="center" wrapText="1"/>
    </xf>
    <xf numFmtId="9" fontId="7" fillId="8" borderId="38" xfId="0" applyNumberFormat="1" applyFont="1" applyFill="1" applyBorder="1" applyAlignment="1">
      <alignment horizontal="center" wrapText="1"/>
    </xf>
    <xf numFmtId="9" fontId="7" fillId="5" borderId="38" xfId="0" applyNumberFormat="1" applyFont="1" applyFill="1" applyBorder="1" applyAlignment="1">
      <alignment horizontal="center" wrapText="1"/>
    </xf>
    <xf numFmtId="9" fontId="7" fillId="7" borderId="39" xfId="0" applyNumberFormat="1" applyFont="1" applyFill="1" applyBorder="1" applyAlignment="1">
      <alignment horizontal="center" wrapText="1"/>
    </xf>
    <xf numFmtId="164" fontId="5" fillId="6" borderId="40" xfId="0" applyNumberFormat="1" applyFont="1" applyFill="1" applyBorder="1"/>
    <xf numFmtId="164" fontId="5" fillId="8" borderId="40" xfId="0" applyNumberFormat="1" applyFont="1" applyFill="1" applyBorder="1"/>
    <xf numFmtId="164" fontId="5" fillId="5" borderId="40" xfId="0" applyNumberFormat="1" applyFont="1" applyFill="1" applyBorder="1"/>
    <xf numFmtId="164" fontId="5" fillId="6" borderId="37" xfId="0" applyNumberFormat="1" applyFont="1" applyFill="1" applyBorder="1"/>
    <xf numFmtId="164" fontId="5" fillId="8" borderId="37" xfId="0" applyNumberFormat="1" applyFont="1" applyFill="1" applyBorder="1"/>
    <xf numFmtId="164" fontId="5" fillId="5" borderId="37" xfId="0" applyNumberFormat="1" applyFont="1" applyFill="1" applyBorder="1"/>
    <xf numFmtId="164" fontId="5" fillId="6" borderId="41" xfId="0" applyNumberFormat="1" applyFont="1" applyFill="1" applyBorder="1"/>
    <xf numFmtId="164" fontId="5" fillId="8" borderId="41" xfId="0" applyNumberFormat="1" applyFont="1" applyFill="1" applyBorder="1"/>
    <xf numFmtId="164" fontId="5" fillId="5" borderId="41" xfId="0" applyNumberFormat="1" applyFont="1" applyFill="1" applyBorder="1"/>
    <xf numFmtId="44" fontId="5" fillId="6" borderId="37" xfId="1" applyFont="1" applyFill="1" applyBorder="1"/>
    <xf numFmtId="44" fontId="5" fillId="8" borderId="37" xfId="1" applyFont="1" applyFill="1" applyBorder="1"/>
    <xf numFmtId="44" fontId="5" fillId="5" borderId="37" xfId="1" applyFont="1" applyFill="1" applyBorder="1"/>
    <xf numFmtId="164" fontId="5" fillId="7" borderId="43" xfId="0" applyNumberFormat="1" applyFont="1" applyFill="1" applyBorder="1"/>
    <xf numFmtId="164" fontId="5" fillId="7" borderId="45" xfId="0" applyNumberFormat="1" applyFont="1" applyFill="1" applyBorder="1"/>
    <xf numFmtId="164" fontId="5" fillId="7" borderId="47" xfId="0" applyNumberFormat="1" applyFont="1" applyFill="1" applyBorder="1"/>
    <xf numFmtId="44" fontId="5" fillId="7" borderId="45" xfId="1" applyFont="1" applyFill="1" applyBorder="1"/>
    <xf numFmtId="164" fontId="5" fillId="6" borderId="49" xfId="0" applyNumberFormat="1" applyFont="1" applyFill="1" applyBorder="1"/>
    <xf numFmtId="164" fontId="5" fillId="8" borderId="49" xfId="0" applyNumberFormat="1" applyFont="1" applyFill="1" applyBorder="1"/>
    <xf numFmtId="164" fontId="5" fillId="5" borderId="49" xfId="0" applyNumberFormat="1" applyFont="1" applyFill="1" applyBorder="1"/>
    <xf numFmtId="164" fontId="5" fillId="7" borderId="23" xfId="0" applyNumberFormat="1" applyFont="1" applyFill="1" applyBorder="1"/>
    <xf numFmtId="164" fontId="7" fillId="12" borderId="50" xfId="0" applyNumberFormat="1" applyFont="1" applyFill="1" applyBorder="1" applyAlignment="1">
      <alignment horizontal="center"/>
    </xf>
    <xf numFmtId="10" fontId="5" fillId="11" borderId="51" xfId="0" applyNumberFormat="1" applyFont="1" applyFill="1" applyBorder="1"/>
    <xf numFmtId="164" fontId="5" fillId="11" borderId="52" xfId="0" applyNumberFormat="1" applyFont="1" applyFill="1" applyBorder="1"/>
    <xf numFmtId="164" fontId="5" fillId="11" borderId="53" xfId="0" applyNumberFormat="1" applyFont="1" applyFill="1" applyBorder="1"/>
    <xf numFmtId="164" fontId="5" fillId="11" borderId="54" xfId="0" applyNumberFormat="1" applyFont="1" applyFill="1" applyBorder="1"/>
    <xf numFmtId="164" fontId="5" fillId="11" borderId="55" xfId="0" applyNumberFormat="1" applyFont="1" applyFill="1" applyBorder="1"/>
    <xf numFmtId="164" fontId="5" fillId="11" borderId="19" xfId="0" applyNumberFormat="1" applyFont="1" applyFill="1" applyBorder="1"/>
    <xf numFmtId="164" fontId="5" fillId="11" borderId="20" xfId="0" applyNumberFormat="1" applyFont="1" applyFill="1" applyBorder="1"/>
    <xf numFmtId="164" fontId="5" fillId="11" borderId="56" xfId="0" applyNumberFormat="1" applyFont="1" applyFill="1" applyBorder="1"/>
    <xf numFmtId="164" fontId="5" fillId="11" borderId="57" xfId="0" applyNumberFormat="1" applyFont="1" applyFill="1" applyBorder="1"/>
    <xf numFmtId="164" fontId="5" fillId="11" borderId="58" xfId="0" applyNumberFormat="1" applyFont="1" applyFill="1" applyBorder="1"/>
    <xf numFmtId="164" fontId="5" fillId="11" borderId="59" xfId="0" applyNumberFormat="1" applyFont="1" applyFill="1" applyBorder="1"/>
    <xf numFmtId="164" fontId="5" fillId="11" borderId="60" xfId="0" applyNumberFormat="1" applyFont="1" applyFill="1" applyBorder="1"/>
    <xf numFmtId="9" fontId="7" fillId="6" borderId="61" xfId="0" applyNumberFormat="1" applyFont="1" applyFill="1" applyBorder="1" applyAlignment="1">
      <alignment horizontal="center" wrapText="1"/>
    </xf>
    <xf numFmtId="164" fontId="5" fillId="11" borderId="62" xfId="0" applyNumberFormat="1" applyFont="1" applyFill="1" applyBorder="1"/>
    <xf numFmtId="164" fontId="5" fillId="11" borderId="63" xfId="0" applyNumberFormat="1" applyFont="1" applyFill="1" applyBorder="1"/>
    <xf numFmtId="164" fontId="5" fillId="11" borderId="64" xfId="0" applyNumberFormat="1" applyFont="1" applyFill="1" applyBorder="1"/>
    <xf numFmtId="0" fontId="8" fillId="14" borderId="17" xfId="0" applyFont="1" applyFill="1" applyBorder="1" applyAlignment="1">
      <alignment horizontal="centerContinuous"/>
    </xf>
    <xf numFmtId="0" fontId="8" fillId="14" borderId="18" xfId="0" applyFont="1" applyFill="1" applyBorder="1" applyAlignment="1">
      <alignment horizontal="centerContinuous"/>
    </xf>
    <xf numFmtId="164" fontId="13" fillId="0" borderId="25" xfId="0" applyNumberFormat="1" applyFont="1" applyBorder="1"/>
    <xf numFmtId="0" fontId="15" fillId="12" borderId="65" xfId="0" applyFont="1" applyFill="1" applyBorder="1" applyAlignment="1">
      <alignment horizontal="center" vertical="center" wrapText="1"/>
    </xf>
    <xf numFmtId="164" fontId="15" fillId="12" borderId="65" xfId="0" applyNumberFormat="1" applyFont="1" applyFill="1" applyBorder="1" applyAlignment="1">
      <alignment horizontal="center" vertical="center" wrapText="1"/>
    </xf>
    <xf numFmtId="164" fontId="14" fillId="12" borderId="65" xfId="0" applyNumberFormat="1" applyFont="1" applyFill="1" applyBorder="1" applyAlignment="1">
      <alignment horizontal="center" vertical="center" wrapText="1"/>
    </xf>
    <xf numFmtId="164" fontId="17" fillId="12" borderId="65" xfId="0" applyNumberFormat="1" applyFont="1" applyFill="1" applyBorder="1" applyAlignment="1">
      <alignment horizontal="center" vertical="center" wrapText="1"/>
    </xf>
    <xf numFmtId="0" fontId="15" fillId="12" borderId="65" xfId="0" applyFont="1" applyFill="1" applyBorder="1" applyAlignment="1">
      <alignment horizontal="center" vertical="center" wrapText="1" shrinkToFit="1"/>
    </xf>
    <xf numFmtId="0" fontId="19" fillId="10" borderId="36" xfId="0" applyFont="1" applyFill="1" applyBorder="1" applyAlignment="1">
      <alignment horizontal="centerContinuous"/>
    </xf>
    <xf numFmtId="0" fontId="7" fillId="0" borderId="54" xfId="0" applyFont="1" applyBorder="1" applyAlignment="1">
      <alignment horizontal="center" vertical="center"/>
    </xf>
    <xf numFmtId="0" fontId="20" fillId="3" borderId="0" xfId="0" applyFont="1" applyFill="1" applyAlignment="1">
      <alignment horizontal="centerContinuous" vertical="center"/>
    </xf>
    <xf numFmtId="0" fontId="5" fillId="2" borderId="7" xfId="0" applyFont="1" applyFill="1" applyBorder="1" applyAlignment="1">
      <alignment horizontal="center" vertical="center"/>
    </xf>
    <xf numFmtId="0" fontId="7" fillId="0" borderId="6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70" xfId="0" applyFont="1" applyBorder="1" applyAlignment="1">
      <alignment horizontal="center" vertical="center"/>
    </xf>
    <xf numFmtId="0" fontId="7" fillId="0" borderId="71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19" fillId="10" borderId="67" xfId="0" applyFont="1" applyFill="1" applyBorder="1" applyAlignment="1">
      <alignment horizontal="centerContinuous"/>
    </xf>
    <xf numFmtId="0" fontId="5" fillId="2" borderId="34" xfId="0" applyFont="1" applyFill="1" applyBorder="1" applyAlignment="1">
      <alignment horizontal="center" vertical="center"/>
    </xf>
    <xf numFmtId="164" fontId="5" fillId="0" borderId="73" xfId="1" applyNumberFormat="1" applyFont="1" applyBorder="1" applyAlignment="1">
      <alignment horizontal="center" vertical="center"/>
    </xf>
    <xf numFmtId="164" fontId="5" fillId="0" borderId="74" xfId="1" applyNumberFormat="1" applyFont="1" applyBorder="1" applyAlignment="1">
      <alignment horizontal="center" vertical="center"/>
    </xf>
    <xf numFmtId="0" fontId="21" fillId="10" borderId="66" xfId="0" applyFont="1" applyFill="1" applyBorder="1" applyAlignment="1">
      <alignment horizontal="centerContinuous"/>
    </xf>
    <xf numFmtId="0" fontId="22" fillId="3" borderId="44" xfId="0" applyFont="1" applyFill="1" applyBorder="1" applyAlignment="1">
      <alignment horizontal="centerContinuous" vertical="center"/>
    </xf>
    <xf numFmtId="0" fontId="22" fillId="3" borderId="0" xfId="0" applyFont="1" applyFill="1" applyAlignment="1">
      <alignment horizontal="centerContinuous" vertical="center"/>
    </xf>
    <xf numFmtId="0" fontId="22" fillId="4" borderId="6" xfId="0" applyFont="1" applyFill="1" applyBorder="1" applyAlignment="1">
      <alignment horizontal="centerContinuous" vertical="center"/>
    </xf>
    <xf numFmtId="0" fontId="12" fillId="14" borderId="17" xfId="0" applyFont="1" applyFill="1" applyBorder="1" applyAlignment="1">
      <alignment horizontal="centerContinuous"/>
    </xf>
    <xf numFmtId="0" fontId="12" fillId="14" borderId="18" xfId="0" applyFont="1" applyFill="1" applyBorder="1" applyAlignment="1">
      <alignment horizontal="centerContinuous"/>
    </xf>
    <xf numFmtId="0" fontId="12" fillId="14" borderId="36" xfId="0" applyFont="1" applyFill="1" applyBorder="1" applyAlignment="1">
      <alignment horizontal="centerContinuous"/>
    </xf>
    <xf numFmtId="0" fontId="7" fillId="18" borderId="19" xfId="0" applyFont="1" applyFill="1" applyBorder="1" applyAlignment="1">
      <alignment horizontal="center" wrapText="1"/>
    </xf>
    <xf numFmtId="0" fontId="7" fillId="18" borderId="15" xfId="0" applyFont="1" applyFill="1" applyBorder="1" applyAlignment="1">
      <alignment horizontal="center" wrapText="1"/>
    </xf>
    <xf numFmtId="0" fontId="7" fillId="18" borderId="1" xfId="0" applyFont="1" applyFill="1" applyBorder="1" applyAlignment="1">
      <alignment horizontal="center" wrapText="1"/>
    </xf>
    <xf numFmtId="0" fontId="7" fillId="18" borderId="24" xfId="0" applyFont="1" applyFill="1" applyBorder="1" applyAlignment="1">
      <alignment horizontal="center" wrapText="1"/>
    </xf>
    <xf numFmtId="0" fontId="5" fillId="9" borderId="44" xfId="0" applyFont="1" applyFill="1" applyBorder="1"/>
    <xf numFmtId="0" fontId="5" fillId="9" borderId="47" xfId="0" applyFont="1" applyFill="1" applyBorder="1"/>
    <xf numFmtId="0" fontId="0" fillId="9" borderId="16" xfId="0" applyFill="1" applyBorder="1"/>
    <xf numFmtId="0" fontId="0" fillId="9" borderId="44" xfId="0" applyFill="1" applyBorder="1"/>
    <xf numFmtId="0" fontId="0" fillId="9" borderId="22" xfId="0" applyFill="1" applyBorder="1"/>
    <xf numFmtId="0" fontId="0" fillId="9" borderId="47" xfId="0" applyFill="1" applyBorder="1"/>
    <xf numFmtId="0" fontId="0" fillId="9" borderId="23" xfId="0" applyFill="1" applyBorder="1"/>
    <xf numFmtId="0" fontId="5" fillId="15" borderId="22" xfId="0" applyFont="1" applyFill="1" applyBorder="1"/>
    <xf numFmtId="0" fontId="5" fillId="15" borderId="16" xfId="0" applyFont="1" applyFill="1" applyBorder="1"/>
    <xf numFmtId="164" fontId="7" fillId="15" borderId="16" xfId="0" applyNumberFormat="1" applyFont="1" applyFill="1" applyBorder="1"/>
    <xf numFmtId="10" fontId="5" fillId="15" borderId="65" xfId="0" applyNumberFormat="1" applyFont="1" applyFill="1" applyBorder="1"/>
    <xf numFmtId="0" fontId="8" fillId="14" borderId="77" xfId="0" applyFont="1" applyFill="1" applyBorder="1" applyAlignment="1">
      <alignment horizontal="centerContinuous"/>
    </xf>
    <xf numFmtId="0" fontId="15" fillId="12" borderId="78" xfId="0" applyFont="1" applyFill="1" applyBorder="1" applyAlignment="1">
      <alignment horizontal="center" vertical="center" wrapText="1"/>
    </xf>
    <xf numFmtId="164" fontId="13" fillId="0" borderId="27" xfId="0" applyNumberFormat="1" applyFont="1" applyBorder="1"/>
    <xf numFmtId="0" fontId="15" fillId="12" borderId="81" xfId="0" applyFont="1" applyFill="1" applyBorder="1" applyAlignment="1">
      <alignment horizontal="center" wrapText="1" shrinkToFit="1"/>
    </xf>
    <xf numFmtId="0" fontId="7" fillId="0" borderId="24" xfId="0" applyFont="1" applyBorder="1" applyAlignment="1">
      <alignment horizontal="left"/>
    </xf>
    <xf numFmtId="0" fontId="7" fillId="0" borderId="19" xfId="0" applyFont="1" applyBorder="1" applyAlignment="1">
      <alignment horizontal="left"/>
    </xf>
    <xf numFmtId="0" fontId="7" fillId="0" borderId="26" xfId="0" applyFont="1" applyBorder="1" applyAlignment="1">
      <alignment horizontal="left"/>
    </xf>
    <xf numFmtId="164" fontId="13" fillId="9" borderId="65" xfId="0" applyNumberFormat="1" applyFont="1" applyFill="1" applyBorder="1"/>
    <xf numFmtId="0" fontId="5" fillId="9" borderId="7" xfId="0" applyFont="1" applyFill="1" applyBorder="1"/>
    <xf numFmtId="10" fontId="5" fillId="9" borderId="7" xfId="0" applyNumberFormat="1" applyFont="1" applyFill="1" applyBorder="1"/>
    <xf numFmtId="164" fontId="5" fillId="9" borderId="7" xfId="0" applyNumberFormat="1" applyFont="1" applyFill="1" applyBorder="1"/>
    <xf numFmtId="165" fontId="16" fillId="9" borderId="7" xfId="0" applyNumberFormat="1" applyFont="1" applyFill="1" applyBorder="1"/>
    <xf numFmtId="164" fontId="10" fillId="9" borderId="7" xfId="0" applyNumberFormat="1" applyFont="1" applyFill="1" applyBorder="1"/>
    <xf numFmtId="164" fontId="13" fillId="9" borderId="7" xfId="0" applyNumberFormat="1" applyFont="1" applyFill="1" applyBorder="1"/>
    <xf numFmtId="164" fontId="5" fillId="0" borderId="15" xfId="1" applyNumberFormat="1" applyFont="1" applyBorder="1"/>
    <xf numFmtId="164" fontId="5" fillId="0" borderId="2" xfId="1" applyNumberFormat="1" applyFont="1" applyBorder="1"/>
    <xf numFmtId="0" fontId="5" fillId="0" borderId="84" xfId="0" applyFont="1" applyBorder="1" applyAlignment="1">
      <alignment horizontal="center" vertical="center"/>
    </xf>
    <xf numFmtId="0" fontId="22" fillId="17" borderId="85" xfId="0" applyFont="1" applyFill="1" applyBorder="1" applyAlignment="1">
      <alignment horizontal="centerContinuous" vertical="center"/>
    </xf>
    <xf numFmtId="0" fontId="20" fillId="17" borderId="82" xfId="0" applyFont="1" applyFill="1" applyBorder="1" applyAlignment="1">
      <alignment horizontal="centerContinuous" vertical="center"/>
    </xf>
    <xf numFmtId="0" fontId="7" fillId="19" borderId="86" xfId="0" applyFont="1" applyFill="1" applyBorder="1" applyAlignment="1">
      <alignment horizontal="center" vertical="center"/>
    </xf>
    <xf numFmtId="0" fontId="7" fillId="19" borderId="87" xfId="0" applyFont="1" applyFill="1" applyBorder="1" applyAlignment="1">
      <alignment horizontal="center" vertical="center"/>
    </xf>
    <xf numFmtId="0" fontId="22" fillId="17" borderId="82" xfId="0" applyFont="1" applyFill="1" applyBorder="1" applyAlignment="1">
      <alignment horizontal="centerContinuous" vertical="center"/>
    </xf>
    <xf numFmtId="0" fontId="7" fillId="19" borderId="21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22" fillId="4" borderId="88" xfId="0" applyFont="1" applyFill="1" applyBorder="1" applyAlignment="1">
      <alignment horizontal="centerContinuous" vertical="center"/>
    </xf>
    <xf numFmtId="0" fontId="5" fillId="19" borderId="87" xfId="0" applyFont="1" applyFill="1" applyBorder="1" applyAlignment="1">
      <alignment horizontal="center" vertical="center"/>
    </xf>
    <xf numFmtId="0" fontId="7" fillId="21" borderId="54" xfId="0" applyFont="1" applyFill="1" applyBorder="1" applyAlignment="1">
      <alignment horizontal="center" vertical="center"/>
    </xf>
    <xf numFmtId="0" fontId="19" fillId="9" borderId="36" xfId="0" applyFont="1" applyFill="1" applyBorder="1" applyAlignment="1">
      <alignment horizontal="centerContinuous"/>
    </xf>
    <xf numFmtId="0" fontId="19" fillId="9" borderId="67" xfId="0" applyFont="1" applyFill="1" applyBorder="1" applyAlignment="1">
      <alignment horizontal="centerContinuous"/>
    </xf>
    <xf numFmtId="44" fontId="5" fillId="0" borderId="15" xfId="1" applyFont="1" applyBorder="1" applyAlignment="1">
      <alignment horizontal="left"/>
    </xf>
    <xf numFmtId="0" fontId="15" fillId="9" borderId="2" xfId="0" applyFont="1" applyFill="1" applyBorder="1" applyAlignment="1">
      <alignment horizontal="center" wrapText="1" shrinkToFit="1"/>
    </xf>
    <xf numFmtId="10" fontId="5" fillId="9" borderId="2" xfId="0" applyNumberFormat="1" applyFont="1" applyFill="1" applyBorder="1"/>
    <xf numFmtId="10" fontId="5" fillId="9" borderId="15" xfId="0" applyNumberFormat="1" applyFont="1" applyFill="1" applyBorder="1"/>
    <xf numFmtId="164" fontId="23" fillId="15" borderId="76" xfId="0" applyNumberFormat="1" applyFont="1" applyFill="1" applyBorder="1"/>
    <xf numFmtId="165" fontId="24" fillId="15" borderId="76" xfId="0" applyNumberFormat="1" applyFont="1" applyFill="1" applyBorder="1"/>
    <xf numFmtId="164" fontId="25" fillId="15" borderId="76" xfId="0" applyNumberFormat="1" applyFont="1" applyFill="1" applyBorder="1"/>
    <xf numFmtId="164" fontId="26" fillId="15" borderId="16" xfId="0" applyNumberFormat="1" applyFont="1" applyFill="1" applyBorder="1"/>
    <xf numFmtId="164" fontId="23" fillId="15" borderId="16" xfId="0" applyNumberFormat="1" applyFont="1" applyFill="1" applyBorder="1"/>
    <xf numFmtId="164" fontId="7" fillId="0" borderId="13" xfId="1" applyNumberFormat="1" applyFont="1" applyBorder="1" applyAlignment="1" applyProtection="1">
      <alignment horizontal="center" vertical="center"/>
    </xf>
    <xf numFmtId="164" fontId="7" fillId="0" borderId="14" xfId="1" applyNumberFormat="1" applyFont="1" applyBorder="1" applyAlignment="1" applyProtection="1">
      <alignment horizontal="center" vertical="center"/>
    </xf>
    <xf numFmtId="164" fontId="7" fillId="0" borderId="15" xfId="1" applyNumberFormat="1" applyFont="1" applyBorder="1" applyAlignment="1" applyProtection="1">
      <alignment horizontal="center" vertical="center"/>
    </xf>
    <xf numFmtId="164" fontId="7" fillId="0" borderId="11" xfId="1" applyNumberFormat="1" applyFont="1" applyBorder="1" applyAlignment="1" applyProtection="1">
      <alignment horizontal="center" vertical="center"/>
    </xf>
    <xf numFmtId="164" fontId="7" fillId="0" borderId="75" xfId="1" applyNumberFormat="1" applyFont="1" applyBorder="1" applyAlignment="1" applyProtection="1">
      <alignment horizontal="center" vertical="center"/>
    </xf>
    <xf numFmtId="164" fontId="5" fillId="0" borderId="3" xfId="1" applyNumberFormat="1" applyFont="1" applyBorder="1" applyAlignment="1" applyProtection="1">
      <alignment horizontal="center" vertical="center"/>
    </xf>
    <xf numFmtId="164" fontId="5" fillId="0" borderId="4" xfId="1" applyNumberFormat="1" applyFont="1" applyBorder="1" applyAlignment="1" applyProtection="1">
      <alignment horizontal="center" vertical="center"/>
    </xf>
    <xf numFmtId="164" fontId="5" fillId="0" borderId="3" xfId="1" applyNumberFormat="1" applyFont="1" applyBorder="1" applyAlignment="1" applyProtection="1">
      <alignment horizontal="center" vertical="center"/>
      <protection locked="0"/>
    </xf>
    <xf numFmtId="164" fontId="5" fillId="0" borderId="71" xfId="1" applyNumberFormat="1" applyFont="1" applyBorder="1" applyAlignment="1" applyProtection="1">
      <alignment horizontal="center" vertical="center"/>
      <protection locked="0"/>
    </xf>
    <xf numFmtId="164" fontId="5" fillId="0" borderId="4" xfId="1" applyNumberFormat="1" applyFont="1" applyBorder="1" applyAlignment="1" applyProtection="1">
      <alignment horizontal="center" vertical="center"/>
      <protection locked="0"/>
    </xf>
    <xf numFmtId="164" fontId="5" fillId="0" borderId="15" xfId="1" applyNumberFormat="1" applyFont="1" applyBorder="1" applyAlignment="1" applyProtection="1">
      <alignment horizontal="center" vertical="center"/>
      <protection locked="0"/>
    </xf>
    <xf numFmtId="164" fontId="5" fillId="0" borderId="72" xfId="1" applyNumberFormat="1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Protection="1">
      <protection locked="0"/>
    </xf>
    <xf numFmtId="0" fontId="5" fillId="0" borderId="4" xfId="0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vertical="center"/>
      <protection locked="0"/>
    </xf>
    <xf numFmtId="0" fontId="5" fillId="0" borderId="68" xfId="0" applyFont="1" applyBorder="1" applyAlignment="1" applyProtection="1">
      <alignment horizontal="left" vertical="center"/>
      <protection locked="0"/>
    </xf>
    <xf numFmtId="0" fontId="5" fillId="0" borderId="15" xfId="0" applyFont="1" applyBorder="1" applyAlignment="1" applyProtection="1">
      <alignment horizontal="left" vertical="center"/>
      <protection locked="0"/>
    </xf>
    <xf numFmtId="0" fontId="5" fillId="0" borderId="69" xfId="0" applyFont="1" applyBorder="1" applyAlignment="1" applyProtection="1">
      <alignment horizontal="left" vertical="center"/>
      <protection locked="0"/>
    </xf>
    <xf numFmtId="0" fontId="5" fillId="0" borderId="83" xfId="0" applyFont="1" applyBorder="1" applyAlignment="1" applyProtection="1">
      <alignment horizontal="left" vertical="center"/>
      <protection locked="0"/>
    </xf>
    <xf numFmtId="164" fontId="5" fillId="20" borderId="84" xfId="1" applyNumberFormat="1" applyFont="1" applyFill="1" applyBorder="1" applyAlignment="1" applyProtection="1">
      <alignment horizontal="center" vertical="center"/>
      <protection locked="0"/>
    </xf>
    <xf numFmtId="164" fontId="5" fillId="20" borderId="3" xfId="1" applyNumberFormat="1" applyFont="1" applyFill="1" applyBorder="1" applyAlignment="1" applyProtection="1">
      <alignment horizontal="center" vertical="center"/>
      <protection locked="0"/>
    </xf>
    <xf numFmtId="164" fontId="5" fillId="20" borderId="15" xfId="1" applyNumberFormat="1" applyFont="1" applyFill="1" applyBorder="1" applyAlignment="1" applyProtection="1">
      <alignment horizontal="center" vertical="center"/>
      <protection locked="0"/>
    </xf>
    <xf numFmtId="164" fontId="5" fillId="20" borderId="4" xfId="1" applyNumberFormat="1" applyFont="1" applyFill="1" applyBorder="1" applyAlignment="1" applyProtection="1">
      <alignment horizontal="center" vertical="center"/>
      <protection locked="0"/>
    </xf>
    <xf numFmtId="0" fontId="5" fillId="0" borderId="84" xfId="0" applyFont="1" applyBorder="1" applyAlignment="1" applyProtection="1">
      <alignment horizontal="left" vertical="center"/>
      <protection locked="0"/>
    </xf>
    <xf numFmtId="164" fontId="5" fillId="20" borderId="2" xfId="1" applyNumberFormat="1" applyFont="1" applyFill="1" applyBorder="1" applyAlignment="1" applyProtection="1">
      <alignment horizontal="center" vertical="center"/>
      <protection locked="0"/>
    </xf>
    <xf numFmtId="164" fontId="5" fillId="0" borderId="84" xfId="1" applyNumberFormat="1" applyFont="1" applyBorder="1" applyAlignment="1" applyProtection="1">
      <alignment horizontal="center" vertical="center"/>
    </xf>
    <xf numFmtId="164" fontId="0" fillId="0" borderId="25" xfId="0" applyNumberFormat="1" applyBorder="1" applyProtection="1">
      <protection locked="0"/>
    </xf>
    <xf numFmtId="164" fontId="0" fillId="0" borderId="15" xfId="0" applyNumberFormat="1" applyBorder="1" applyProtection="1">
      <protection locked="0"/>
    </xf>
    <xf numFmtId="164" fontId="0" fillId="0" borderId="21" xfId="0" applyNumberFormat="1" applyBorder="1" applyProtection="1">
      <protection locked="0"/>
    </xf>
    <xf numFmtId="164" fontId="5" fillId="0" borderId="25" xfId="0" applyNumberFormat="1" applyFont="1" applyBorder="1" applyProtection="1">
      <protection locked="0"/>
    </xf>
    <xf numFmtId="164" fontId="5" fillId="0" borderId="15" xfId="0" applyNumberFormat="1" applyFont="1" applyBorder="1" applyProtection="1">
      <protection locked="0"/>
    </xf>
    <xf numFmtId="164" fontId="5" fillId="0" borderId="21" xfId="0" applyNumberFormat="1" applyFont="1" applyBorder="1" applyProtection="1">
      <protection locked="0"/>
    </xf>
    <xf numFmtId="10" fontId="5" fillId="0" borderId="77" xfId="0" applyNumberFormat="1" applyFont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0" fontId="5" fillId="0" borderId="79" xfId="0" applyNumberFormat="1" applyFont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0" fontId="5" fillId="0" borderId="80" xfId="0" applyNumberFormat="1" applyFont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9" fontId="5" fillId="0" borderId="25" xfId="0" applyNumberFormat="1" applyFont="1" applyBorder="1" applyAlignment="1">
      <alignment horizontal="center"/>
    </xf>
    <xf numFmtId="9" fontId="5" fillId="0" borderId="27" xfId="0" applyNumberFormat="1" applyFont="1" applyBorder="1" applyAlignment="1">
      <alignment horizontal="center"/>
    </xf>
    <xf numFmtId="164" fontId="18" fillId="0" borderId="25" xfId="0" applyNumberFormat="1" applyFont="1" applyBorder="1"/>
    <xf numFmtId="10" fontId="5" fillId="0" borderId="25" xfId="0" applyNumberFormat="1" applyFont="1" applyBorder="1"/>
    <xf numFmtId="164" fontId="18" fillId="0" borderId="2" xfId="0" applyNumberFormat="1" applyFont="1" applyBorder="1"/>
    <xf numFmtId="10" fontId="5" fillId="0" borderId="15" xfId="0" applyNumberFormat="1" applyFont="1" applyBorder="1"/>
    <xf numFmtId="164" fontId="18" fillId="0" borderId="76" xfId="0" applyNumberFormat="1" applyFont="1" applyBorder="1"/>
    <xf numFmtId="10" fontId="5" fillId="0" borderId="21" xfId="0" applyNumberFormat="1" applyFont="1" applyBorder="1"/>
    <xf numFmtId="164" fontId="6" fillId="0" borderId="15" xfId="0" applyNumberFormat="1" applyFont="1" applyBorder="1"/>
    <xf numFmtId="9" fontId="5" fillId="0" borderId="25" xfId="0" applyNumberFormat="1" applyFont="1" applyBorder="1" applyAlignment="1">
      <alignment horizontal="right"/>
    </xf>
    <xf numFmtId="9" fontId="5" fillId="0" borderId="15" xfId="0" applyNumberFormat="1" applyFont="1" applyBorder="1" applyAlignment="1">
      <alignment horizontal="right"/>
    </xf>
    <xf numFmtId="9" fontId="5" fillId="0" borderId="21" xfId="0" applyNumberFormat="1" applyFont="1" applyBorder="1" applyAlignment="1">
      <alignment horizontal="right"/>
    </xf>
    <xf numFmtId="164" fontId="13" fillId="0" borderId="15" xfId="0" applyNumberFormat="1" applyFont="1" applyBorder="1"/>
    <xf numFmtId="164" fontId="13" fillId="0" borderId="21" xfId="0" applyNumberFormat="1" applyFont="1" applyBorder="1"/>
    <xf numFmtId="10" fontId="5" fillId="0" borderId="42" xfId="0" applyNumberFormat="1" applyFont="1" applyBorder="1"/>
    <xf numFmtId="10" fontId="5" fillId="0" borderId="44" xfId="0" applyNumberFormat="1" applyFont="1" applyBorder="1"/>
    <xf numFmtId="10" fontId="5" fillId="0" borderId="46" xfId="0" applyNumberFormat="1" applyFont="1" applyBorder="1"/>
    <xf numFmtId="10" fontId="5" fillId="0" borderId="48" xfId="0" applyNumberFormat="1" applyFont="1" applyBorder="1"/>
    <xf numFmtId="164" fontId="7" fillId="0" borderId="16" xfId="0" applyNumberFormat="1" applyFont="1" applyBorder="1"/>
    <xf numFmtId="165" fontId="7" fillId="0" borderId="16" xfId="0" applyNumberFormat="1" applyFont="1" applyBorder="1"/>
    <xf numFmtId="164" fontId="11" fillId="0" borderId="16" xfId="0" applyNumberFormat="1" applyFont="1" applyBorder="1"/>
    <xf numFmtId="10" fontId="7" fillId="0" borderId="2" xfId="0" applyNumberFormat="1" applyFont="1" applyBorder="1"/>
    <xf numFmtId="164" fontId="7" fillId="0" borderId="23" xfId="0" applyNumberFormat="1" applyFont="1" applyBorder="1"/>
    <xf numFmtId="0" fontId="17" fillId="12" borderId="65" xfId="0" applyFont="1" applyFill="1" applyBorder="1" applyAlignment="1">
      <alignment horizontal="center" vertical="center" wrapText="1" shrinkToFit="1"/>
    </xf>
    <xf numFmtId="164" fontId="7" fillId="0" borderId="84" xfId="1" applyNumberFormat="1" applyFont="1" applyBorder="1" applyAlignment="1" applyProtection="1">
      <alignment horizontal="center" vertical="center"/>
    </xf>
    <xf numFmtId="164" fontId="7" fillId="0" borderId="3" xfId="1" applyNumberFormat="1" applyFont="1" applyBorder="1" applyAlignment="1" applyProtection="1">
      <alignment horizontal="center" vertical="center"/>
    </xf>
    <xf numFmtId="4" fontId="16" fillId="0" borderId="25" xfId="0" applyNumberFormat="1" applyFont="1" applyBorder="1" applyProtection="1">
      <protection locked="0"/>
    </xf>
    <xf numFmtId="4" fontId="10" fillId="0" borderId="25" xfId="0" applyNumberFormat="1" applyFont="1" applyBorder="1" applyProtection="1">
      <protection locked="0"/>
    </xf>
    <xf numFmtId="4" fontId="16" fillId="0" borderId="15" xfId="0" applyNumberFormat="1" applyFont="1" applyBorder="1" applyProtection="1">
      <protection locked="0"/>
    </xf>
    <xf numFmtId="4" fontId="10" fillId="0" borderId="15" xfId="0" applyNumberFormat="1" applyFont="1" applyBorder="1" applyProtection="1">
      <protection locked="0"/>
    </xf>
    <xf numFmtId="4" fontId="16" fillId="0" borderId="21" xfId="0" applyNumberFormat="1" applyFont="1" applyBorder="1" applyProtection="1">
      <protection locked="0"/>
    </xf>
    <xf numFmtId="4" fontId="10" fillId="0" borderId="21" xfId="0" applyNumberFormat="1" applyFont="1" applyBorder="1" applyProtection="1">
      <protection locked="0"/>
    </xf>
    <xf numFmtId="0" fontId="5" fillId="13" borderId="8" xfId="0" applyFont="1" applyFill="1" applyBorder="1" applyAlignment="1" applyProtection="1">
      <alignment horizontal="center" vertical="center"/>
      <protection locked="0"/>
    </xf>
    <xf numFmtId="0" fontId="5" fillId="13" borderId="9" xfId="0" applyFont="1" applyFill="1" applyBorder="1" applyAlignment="1" applyProtection="1">
      <alignment horizontal="center" vertical="center"/>
      <protection locked="0"/>
    </xf>
    <xf numFmtId="164" fontId="5" fillId="0" borderId="8" xfId="0" applyNumberFormat="1" applyFont="1" applyBorder="1" applyAlignment="1" applyProtection="1">
      <alignment horizontal="center" vertical="center"/>
      <protection locked="0"/>
    </xf>
    <xf numFmtId="164" fontId="5" fillId="0" borderId="9" xfId="0" applyNumberFormat="1" applyFont="1" applyBorder="1" applyAlignment="1" applyProtection="1">
      <alignment horizontal="center" vertical="center"/>
      <protection locked="0"/>
    </xf>
    <xf numFmtId="164" fontId="5" fillId="20" borderId="8" xfId="0" applyNumberFormat="1" applyFont="1" applyFill="1" applyBorder="1" applyAlignment="1" applyProtection="1">
      <alignment horizontal="center" vertical="center"/>
      <protection locked="0"/>
    </xf>
    <xf numFmtId="164" fontId="5" fillId="20" borderId="9" xfId="0" applyNumberFormat="1" applyFont="1" applyFill="1" applyBorder="1" applyAlignment="1" applyProtection="1">
      <alignment horizontal="center" vertical="center"/>
      <protection locked="0"/>
    </xf>
    <xf numFmtId="0" fontId="21" fillId="16" borderId="66" xfId="0" applyFont="1" applyFill="1" applyBorder="1" applyAlignment="1">
      <alignment horizontal="center"/>
    </xf>
    <xf numFmtId="0" fontId="21" fillId="16" borderId="36" xfId="0" applyFont="1" applyFill="1" applyBorder="1" applyAlignment="1">
      <alignment horizontal="center"/>
    </xf>
  </cellXfs>
  <cellStyles count="4">
    <cellStyle name="Currency" xfId="1" builtinId="4"/>
    <cellStyle name="Day" xfId="2" xr:uid="{7499DCFB-2614-4971-AF0E-228F020899F9}"/>
    <cellStyle name="Day Detail" xfId="3" xr:uid="{8C69B6C5-22AB-4D93-A77A-D0A52FED3139}"/>
    <cellStyle name="Normal" xfId="0" builtinId="0"/>
  </cellStyles>
  <dxfs count="70">
    <dxf>
      <font>
        <color rgb="FFFF0000"/>
      </font>
      <fill>
        <patternFill patternType="none">
          <bgColor auto="1"/>
        </patternFill>
      </fill>
    </dxf>
    <dxf>
      <font>
        <color theme="9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9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0000"/>
      </font>
    </dxf>
    <dxf>
      <font>
        <color theme="9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/>
        <strike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Times New Roman"/>
        <family val="1"/>
        <scheme val="none"/>
      </font>
      <numFmt numFmtId="164" formatCode="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Times New Roman"/>
        <family val="1"/>
        <scheme val="none"/>
      </font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/>
        <name val="Times New Roman"/>
        <family val="1"/>
        <scheme val="none"/>
      </font>
      <numFmt numFmtId="165" formatCode="&quot;$&quot;#,##0.00;[Red]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/>
        <name val="Times New Roman"/>
        <family val="1"/>
        <scheme val="none"/>
      </font>
      <numFmt numFmtId="165" formatCode="&quot;$&quot;#,##0.00;[Red]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imes New Roman"/>
        <family val="1"/>
        <scheme val="none"/>
      </font>
      <fill>
        <patternFill patternType="solid">
          <fgColor indexed="64"/>
          <bgColor rgb="FFFA86DE"/>
        </patternFill>
      </fill>
      <alignment horizontal="center" vertical="bottom" textRotation="0" wrapText="1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99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99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/>
        </patternFill>
      </fill>
    </dxf>
  </dxfs>
  <tableStyles count="1" defaultTableStyle="TableStyleMedium2" defaultPivotStyle="PivotStyleLight16">
    <tableStyle name="Purple Table" pivot="0" count="3" xr9:uid="{D65BF782-63AC-4586-B775-3C60904535CD}">
      <tableStyleElement type="headerRow" dxfId="69"/>
      <tableStyleElement type="firstRowStripe" dxfId="68"/>
      <tableStyleElement type="secondRowStripe" dxfId="67"/>
    </tableStyle>
  </tableStyles>
  <colors>
    <mruColors>
      <color rgb="FFFFAFAF"/>
      <color rgb="FFFFFF99"/>
      <color rgb="FFFF7C80"/>
      <color rgb="FFFFCCFF"/>
      <color rgb="FFFF99CC"/>
      <color rgb="FFFF5050"/>
      <color rgb="FFFFA669"/>
      <color rgb="FFED2F65"/>
      <color rgb="FFEF9C2D"/>
      <color rgb="FFDE3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313267</xdr:colOff>
      <xdr:row>1</xdr:row>
      <xdr:rowOff>101601</xdr:rowOff>
    </xdr:from>
    <xdr:to>
      <xdr:col>4</xdr:col>
      <xdr:colOff>538721</xdr:colOff>
      <xdr:row>3</xdr:row>
      <xdr:rowOff>110067</xdr:rowOff>
    </xdr:to>
    <xdr:sp macro="[0]!Sheet6.Budget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77E433D-C323-49E0-8B83-09E2697EB412}"/>
            </a:ext>
          </a:extLst>
        </xdr:cNvPr>
        <xdr:cNvSpPr/>
      </xdr:nvSpPr>
      <xdr:spPr>
        <a:xfrm>
          <a:off x="2607734" y="423334"/>
          <a:ext cx="835054" cy="3810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Mongolian Baiti" panose="03000500000000000000" pitchFamily="66" charset="0"/>
              <a:cs typeface="Mongolian Baiti" panose="03000500000000000000" pitchFamily="66" charset="0"/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313267</xdr:colOff>
      <xdr:row>1</xdr:row>
      <xdr:rowOff>101601</xdr:rowOff>
    </xdr:from>
    <xdr:to>
      <xdr:col>4</xdr:col>
      <xdr:colOff>538721</xdr:colOff>
      <xdr:row>3</xdr:row>
      <xdr:rowOff>110067</xdr:rowOff>
    </xdr:to>
    <xdr:sp macro="[0]!Sheet1.Paycheck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E612BCA-85C7-40C5-9C80-3B90E62A2A88}"/>
            </a:ext>
          </a:extLst>
        </xdr:cNvPr>
        <xdr:cNvSpPr/>
      </xdr:nvSpPr>
      <xdr:spPr>
        <a:xfrm>
          <a:off x="2606887" y="688341"/>
          <a:ext cx="835054" cy="374226"/>
        </a:xfrm>
        <a:prstGeom prst="roundRect">
          <a:avLst/>
        </a:prstGeom>
        <a:solidFill>
          <a:srgbClr val="FF99CC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Mongolian Baiti" panose="03000500000000000000" pitchFamily="66" charset="0"/>
              <a:cs typeface="Mongolian Baiti" panose="03000500000000000000" pitchFamily="66" charset="0"/>
            </a:rPr>
            <a:t>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182880</xdr:colOff>
      <xdr:row>1</xdr:row>
      <xdr:rowOff>137160</xdr:rowOff>
    </xdr:from>
    <xdr:to>
      <xdr:col>13</xdr:col>
      <xdr:colOff>1017934</xdr:colOff>
      <xdr:row>1</xdr:row>
      <xdr:rowOff>518159</xdr:rowOff>
    </xdr:to>
    <xdr:sp macro="[0]!Sheet4.CreditCards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94E2904-B20E-4046-BF2B-91E882FAC9B6}"/>
            </a:ext>
          </a:extLst>
        </xdr:cNvPr>
        <xdr:cNvSpPr/>
      </xdr:nvSpPr>
      <xdr:spPr>
        <a:xfrm>
          <a:off x="11803380" y="449580"/>
          <a:ext cx="835054" cy="380999"/>
        </a:xfrm>
        <a:prstGeom prst="roundRect">
          <a:avLst/>
        </a:prstGeom>
        <a:solidFill>
          <a:schemeClr val="accent5"/>
        </a:solidFill>
        <a:ln>
          <a:solidFill>
            <a:schemeClr val="accent5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Mongolian Baiti" panose="03000500000000000000" pitchFamily="66" charset="0"/>
              <a:cs typeface="Mongolian Baiti" panose="03000500000000000000" pitchFamily="66" charset="0"/>
            </a:rPr>
            <a:t>Clear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29260CF-0850-412C-9D26-A243BC3DF987}" name="CCPaymentBreakdown" displayName="CCPaymentBreakdown" ref="A2:M16" totalsRowCount="1" headerRowDxfId="49" dataDxfId="47" headerRowBorderDxfId="48" tableBorderDxfId="46">
  <autoFilter ref="A2:M15" xr:uid="{C29260CF-0850-412C-9D26-A243BC3DF987}"/>
  <sortState xmlns:xlrd2="http://schemas.microsoft.com/office/spreadsheetml/2017/richdata2" ref="A3:L15">
    <sortCondition descending="1" ref="L2:L15"/>
  </sortState>
  <tableColumns count="13">
    <tableColumn id="1" xr3:uid="{31EB619E-5662-40D5-BB50-6F576E5DB7B2}" name="Credit Card" dataDxfId="45" totalsRowDxfId="44"/>
    <tableColumn id="2" xr3:uid="{3011BA02-35CC-4A62-9667-FDBE01945AAC}" name="Utilization" dataDxfId="43" totalsRowDxfId="42"/>
    <tableColumn id="3" xr3:uid="{E0594D8B-6A33-49A4-9B57-BFF116BBF5DB}" name="Limit" dataDxfId="41" totalsRowDxfId="40"/>
    <tableColumn id="4" xr3:uid="{C09231A3-03CD-4DD5-B5B6-CC54F74786B8}" name="Available" dataDxfId="39" totalsRowDxfId="38"/>
    <tableColumn id="5" xr3:uid="{852EA5BE-F521-42D7-8316-11B972BC61E7}" name="Amount balance" dataDxfId="37" totalsRowDxfId="36"/>
    <tableColumn id="11" xr3:uid="{EA735B06-5CA8-4D0F-885B-2EC69FC9CE4C}" name="30% Utilization Target" dataDxfId="35" totalsRowDxfId="34">
      <calculatedColumnFormula>CCPaymentBreakdown[[#This Row],[Limit]]*0.3</calculatedColumnFormula>
    </tableColumn>
    <tableColumn id="12" xr3:uid="{153B05AE-2A86-4109-AD9C-72D17688F520}" name="Pay difference need to be at 30% Utilization" totalsRowFunction="custom" dataDxfId="33" totalsRowDxfId="32">
      <calculatedColumnFormula>IF(CCPaymentBreakdown[[#This Row],[Utilization]]&lt;=30%,0,CCPaymentBreakdown[[#This Row],[Amount balance]]-CCPaymentBreakdown[[#This Row],[30% Utilization Target]])</calculatedColumnFormula>
      <totalsRowFormula>SUM(G3:G14)</totalsRowFormula>
    </tableColumn>
    <tableColumn id="6" xr3:uid="{8FF6FD32-E66D-472B-990E-F9216989D1B9}" name="Interest" dataDxfId="31" totalsRowDxfId="30"/>
    <tableColumn id="7" xr3:uid="{79C250ED-3AD9-4701-98BC-4744F2012E09}" name="Min payment" dataDxfId="29" totalsRowDxfId="28"/>
    <tableColumn id="8" xr3:uid="{6D21688E-D544-44EF-B30F-573AA8FCF1FF}" name="Min Payment Plus Estimated Interest" dataDxfId="27" totalsRowDxfId="26"/>
    <tableColumn id="9" xr3:uid="{8CD5D447-50F0-4813-BEAD-70A254127B69}" name="Debt Efficiency" dataDxfId="25" totalsRowDxfId="24"/>
    <tableColumn id="10" xr3:uid="{CEAC82DC-49C2-407E-823B-CF6161B74E4F}" name="Priority Score" dataDxfId="23" totalsRowDxfId="22"/>
    <tableColumn id="13" xr3:uid="{3852DEB8-04B7-47FA-A48E-0ACB063B0204}" name="Paid" dataDxfId="21" totalsRowDxfId="20"/>
  </tableColumns>
  <tableStyleInfo name="Purple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2AB9F-4213-4C92-A9B1-361E21042537}">
  <sheetPr codeName="Sheet6">
    <tabColor theme="4" tint="-0.249977111117893"/>
  </sheetPr>
  <dimension ref="A1:S29"/>
  <sheetViews>
    <sheetView tabSelected="1" zoomScale="90" zoomScaleNormal="90" workbookViewId="0">
      <selection activeCell="C9" sqref="C9"/>
    </sheetView>
  </sheetViews>
  <sheetFormatPr defaultRowHeight="14.4" x14ac:dyDescent="0.3"/>
  <cols>
    <col min="1" max="1" width="14.6640625" style="1" customWidth="1"/>
    <col min="2" max="3" width="10.109375" style="1" bestFit="1" customWidth="1"/>
    <col min="4" max="4" width="8.88671875" style="1"/>
    <col min="5" max="5" width="13.109375" style="1" bestFit="1" customWidth="1"/>
    <col min="6" max="8" width="8.88671875" style="1"/>
    <col min="9" max="9" width="18.5546875" style="1" bestFit="1" customWidth="1"/>
    <col min="10" max="10" width="10.109375" style="1" bestFit="1" customWidth="1"/>
    <col min="11" max="12" width="8.88671875" style="1"/>
    <col min="13" max="13" width="10.109375" style="1" bestFit="1" customWidth="1"/>
    <col min="14" max="16" width="8.88671875" style="1"/>
    <col min="17" max="17" width="16.21875" style="1" bestFit="1" customWidth="1"/>
    <col min="18" max="18" width="10.5546875" style="1" bestFit="1" customWidth="1"/>
    <col min="19" max="19" width="10.109375" style="1" bestFit="1" customWidth="1"/>
    <col min="20" max="16384" width="8.88671875" style="1"/>
  </cols>
  <sheetData>
    <row r="1" spans="1:19" ht="46.2" x14ac:dyDescent="0.8">
      <c r="A1" s="94" t="s">
        <v>1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90"/>
    </row>
    <row r="2" spans="1:19" x14ac:dyDescent="0.3">
      <c r="A2" s="105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106"/>
    </row>
    <row r="3" spans="1:19" x14ac:dyDescent="0.3">
      <c r="A3" s="78" t="s">
        <v>4</v>
      </c>
      <c r="B3" s="224" t="s">
        <v>68</v>
      </c>
      <c r="C3" s="225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106"/>
    </row>
    <row r="4" spans="1:19" x14ac:dyDescent="0.3">
      <c r="A4" s="78" t="s">
        <v>5</v>
      </c>
      <c r="B4" s="226">
        <v>6000</v>
      </c>
      <c r="C4" s="227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106"/>
    </row>
    <row r="5" spans="1:19" x14ac:dyDescent="0.3">
      <c r="A5" s="105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106"/>
    </row>
    <row r="6" spans="1:19" ht="21" x14ac:dyDescent="0.3">
      <c r="A6" s="95" t="s">
        <v>51</v>
      </c>
      <c r="B6" s="79"/>
      <c r="C6" s="79"/>
      <c r="D6" s="4"/>
      <c r="E6" s="96" t="s">
        <v>9</v>
      </c>
      <c r="F6" s="79"/>
      <c r="G6" s="79"/>
      <c r="H6" s="4"/>
      <c r="I6" s="96" t="s">
        <v>52</v>
      </c>
      <c r="J6" s="79"/>
      <c r="K6" s="79"/>
      <c r="L6" s="4"/>
      <c r="M6" s="96" t="s">
        <v>6</v>
      </c>
      <c r="N6" s="79"/>
      <c r="O6" s="79"/>
      <c r="P6" s="4"/>
      <c r="Q6" s="80" t="s">
        <v>11</v>
      </c>
      <c r="R6" s="80" t="s">
        <v>2</v>
      </c>
      <c r="S6" s="91" t="s">
        <v>3</v>
      </c>
    </row>
    <row r="7" spans="1:19" x14ac:dyDescent="0.3">
      <c r="A7" s="81" t="s">
        <v>0</v>
      </c>
      <c r="B7" s="82" t="s">
        <v>2</v>
      </c>
      <c r="C7" s="82" t="s">
        <v>3</v>
      </c>
      <c r="D7" s="4"/>
      <c r="E7" s="82" t="s">
        <v>10</v>
      </c>
      <c r="F7" s="82" t="s">
        <v>2</v>
      </c>
      <c r="G7" s="82" t="s">
        <v>3</v>
      </c>
      <c r="H7" s="4"/>
      <c r="I7" s="89" t="s">
        <v>8</v>
      </c>
      <c r="J7" s="89" t="s">
        <v>2</v>
      </c>
      <c r="K7" s="88" t="s">
        <v>3</v>
      </c>
      <c r="L7" s="4"/>
      <c r="M7" s="82" t="s">
        <v>6</v>
      </c>
      <c r="N7" s="82" t="s">
        <v>2</v>
      </c>
      <c r="O7" s="82" t="s">
        <v>3</v>
      </c>
      <c r="P7" s="4"/>
      <c r="Q7" s="83" t="s">
        <v>51</v>
      </c>
      <c r="R7" s="159">
        <f>B23</f>
        <v>3690</v>
      </c>
      <c r="S7" s="92">
        <f>C23</f>
        <v>3521</v>
      </c>
    </row>
    <row r="8" spans="1:19" x14ac:dyDescent="0.3">
      <c r="A8" s="172" t="s">
        <v>29</v>
      </c>
      <c r="B8" s="161">
        <v>900</v>
      </c>
      <c r="C8" s="161">
        <v>900</v>
      </c>
      <c r="D8" s="4"/>
      <c r="E8" s="166" t="s">
        <v>66</v>
      </c>
      <c r="F8" s="161">
        <v>27</v>
      </c>
      <c r="G8" s="161">
        <v>27</v>
      </c>
      <c r="H8" s="4"/>
      <c r="I8" s="169" t="s">
        <v>62</v>
      </c>
      <c r="J8" s="164">
        <v>42</v>
      </c>
      <c r="K8" s="164">
        <v>30</v>
      </c>
      <c r="L8" s="4"/>
      <c r="M8" s="166" t="s">
        <v>21</v>
      </c>
      <c r="N8" s="161">
        <v>50</v>
      </c>
      <c r="O8" s="161">
        <v>50</v>
      </c>
      <c r="P8" s="4"/>
      <c r="Q8" s="83" t="s">
        <v>12</v>
      </c>
      <c r="R8" s="159">
        <f>F19</f>
        <v>268</v>
      </c>
      <c r="S8" s="92">
        <f>G19</f>
        <v>368</v>
      </c>
    </row>
    <row r="9" spans="1:19" x14ac:dyDescent="0.3">
      <c r="A9" s="172" t="s">
        <v>65</v>
      </c>
      <c r="B9" s="161">
        <v>178</v>
      </c>
      <c r="C9" s="161">
        <v>150</v>
      </c>
      <c r="D9" s="4"/>
      <c r="E9" s="166" t="s">
        <v>19</v>
      </c>
      <c r="F9" s="161">
        <v>33</v>
      </c>
      <c r="G9" s="161">
        <v>33</v>
      </c>
      <c r="H9" s="4"/>
      <c r="I9" s="169" t="s">
        <v>61</v>
      </c>
      <c r="J9" s="164">
        <v>25</v>
      </c>
      <c r="K9" s="164">
        <v>25</v>
      </c>
      <c r="L9" s="4"/>
      <c r="M9" s="166" t="s">
        <v>22</v>
      </c>
      <c r="N9" s="161">
        <v>50</v>
      </c>
      <c r="O9" s="161">
        <v>10</v>
      </c>
      <c r="P9" s="4"/>
      <c r="Q9" s="83" t="s">
        <v>6</v>
      </c>
      <c r="R9" s="159">
        <f>N17</f>
        <v>250</v>
      </c>
      <c r="S9" s="92">
        <f>O17</f>
        <v>110</v>
      </c>
    </row>
    <row r="10" spans="1:19" ht="15" thickBot="1" x14ac:dyDescent="0.35">
      <c r="A10" s="172" t="s">
        <v>43</v>
      </c>
      <c r="B10" s="161">
        <v>334</v>
      </c>
      <c r="C10" s="161">
        <v>334</v>
      </c>
      <c r="D10" s="4"/>
      <c r="E10" s="166" t="s">
        <v>20</v>
      </c>
      <c r="F10" s="161">
        <v>24</v>
      </c>
      <c r="G10" s="161">
        <v>24</v>
      </c>
      <c r="H10" s="4"/>
      <c r="I10" s="169" t="s">
        <v>46</v>
      </c>
      <c r="J10" s="164">
        <v>45</v>
      </c>
      <c r="K10" s="164">
        <v>40</v>
      </c>
      <c r="L10" s="4"/>
      <c r="M10" s="166" t="s">
        <v>23</v>
      </c>
      <c r="N10" s="161">
        <v>50</v>
      </c>
      <c r="O10" s="161">
        <v>50</v>
      </c>
      <c r="P10" s="4"/>
      <c r="Q10" s="84" t="s">
        <v>52</v>
      </c>
      <c r="R10" s="160">
        <f>J26</f>
        <v>807</v>
      </c>
      <c r="S10" s="93">
        <f>K26</f>
        <v>635</v>
      </c>
    </row>
    <row r="11" spans="1:19" ht="15" thickBot="1" x14ac:dyDescent="0.35">
      <c r="A11" s="172" t="s">
        <v>56</v>
      </c>
      <c r="B11" s="161">
        <v>492</v>
      </c>
      <c r="C11" s="161">
        <v>492</v>
      </c>
      <c r="D11" s="4"/>
      <c r="E11" s="166" t="s">
        <v>44</v>
      </c>
      <c r="F11" s="161">
        <v>34</v>
      </c>
      <c r="G11" s="161">
        <v>34</v>
      </c>
      <c r="H11" s="4"/>
      <c r="I11" s="169" t="s">
        <v>13</v>
      </c>
      <c r="J11" s="164">
        <v>100</v>
      </c>
      <c r="K11" s="164">
        <v>80</v>
      </c>
      <c r="L11" s="4"/>
      <c r="M11" s="166" t="s">
        <v>24</v>
      </c>
      <c r="N11" s="161">
        <v>50</v>
      </c>
      <c r="O11" s="161">
        <v>0</v>
      </c>
      <c r="P11" s="4"/>
      <c r="Q11" s="85" t="s">
        <v>7</v>
      </c>
      <c r="R11" s="157">
        <f>SUM(R7:R10)</f>
        <v>5015</v>
      </c>
      <c r="S11" s="158">
        <f>SUM(S7:S10)</f>
        <v>4634</v>
      </c>
    </row>
    <row r="12" spans="1:19" x14ac:dyDescent="0.3">
      <c r="A12" s="172" t="s">
        <v>60</v>
      </c>
      <c r="B12" s="161">
        <v>580</v>
      </c>
      <c r="C12" s="161">
        <v>580</v>
      </c>
      <c r="D12" s="4"/>
      <c r="E12" s="171" t="s">
        <v>27</v>
      </c>
      <c r="F12" s="161">
        <v>50</v>
      </c>
      <c r="G12" s="161">
        <v>100</v>
      </c>
      <c r="H12" s="4"/>
      <c r="I12" s="169" t="s">
        <v>17</v>
      </c>
      <c r="J12" s="164">
        <v>75</v>
      </c>
      <c r="K12" s="164">
        <v>50</v>
      </c>
      <c r="L12" s="4"/>
      <c r="M12" s="166" t="s">
        <v>25</v>
      </c>
      <c r="N12" s="161">
        <v>50</v>
      </c>
      <c r="O12" s="161">
        <v>0</v>
      </c>
      <c r="P12" s="4"/>
      <c r="Q12" s="4"/>
      <c r="R12" s="4"/>
      <c r="S12" s="106"/>
    </row>
    <row r="13" spans="1:19" x14ac:dyDescent="0.3">
      <c r="A13" s="173" t="s">
        <v>57</v>
      </c>
      <c r="B13" s="164">
        <v>680</v>
      </c>
      <c r="C13" s="162">
        <v>680</v>
      </c>
      <c r="D13" s="4"/>
      <c r="E13" s="171" t="s">
        <v>26</v>
      </c>
      <c r="F13" s="161">
        <v>100</v>
      </c>
      <c r="G13" s="161">
        <v>150</v>
      </c>
      <c r="H13" s="4"/>
      <c r="I13" s="169" t="s">
        <v>64</v>
      </c>
      <c r="J13" s="164">
        <v>90</v>
      </c>
      <c r="K13" s="164">
        <v>90</v>
      </c>
      <c r="L13" s="4"/>
      <c r="M13" s="167"/>
      <c r="N13" s="161"/>
      <c r="O13" s="161"/>
      <c r="P13" s="4"/>
      <c r="Q13" s="4"/>
      <c r="R13" s="4"/>
      <c r="S13" s="106"/>
    </row>
    <row r="14" spans="1:19" ht="18" x14ac:dyDescent="0.3">
      <c r="A14" s="169" t="s">
        <v>58</v>
      </c>
      <c r="B14" s="164">
        <v>135</v>
      </c>
      <c r="C14" s="162">
        <v>135</v>
      </c>
      <c r="D14" s="4"/>
      <c r="E14" s="171"/>
      <c r="F14" s="161"/>
      <c r="G14" s="161"/>
      <c r="H14" s="4"/>
      <c r="I14" s="169" t="s">
        <v>30</v>
      </c>
      <c r="J14" s="164">
        <v>50</v>
      </c>
      <c r="K14" s="164">
        <v>50</v>
      </c>
      <c r="L14" s="4"/>
      <c r="M14" s="167"/>
      <c r="N14" s="161"/>
      <c r="O14" s="161"/>
      <c r="P14" s="4"/>
      <c r="Q14" s="97" t="s">
        <v>28</v>
      </c>
      <c r="R14" s="97"/>
      <c r="S14" s="106"/>
    </row>
    <row r="15" spans="1:19" x14ac:dyDescent="0.3">
      <c r="A15" s="169" t="s">
        <v>59</v>
      </c>
      <c r="B15" s="164">
        <v>391</v>
      </c>
      <c r="C15" s="162">
        <v>250</v>
      </c>
      <c r="D15" s="4"/>
      <c r="E15" s="171"/>
      <c r="F15" s="161"/>
      <c r="G15" s="161"/>
      <c r="H15" s="4"/>
      <c r="I15" s="169" t="s">
        <v>15</v>
      </c>
      <c r="J15" s="164">
        <v>120</v>
      </c>
      <c r="K15" s="164">
        <v>100</v>
      </c>
      <c r="L15" s="4"/>
      <c r="M15" s="167"/>
      <c r="N15" s="161"/>
      <c r="O15" s="161"/>
      <c r="P15" s="4"/>
      <c r="Q15" s="83" t="s">
        <v>2</v>
      </c>
      <c r="R15" s="83" t="s">
        <v>3</v>
      </c>
      <c r="S15" s="106"/>
    </row>
    <row r="16" spans="1:19" ht="15" thickBot="1" x14ac:dyDescent="0.35">
      <c r="A16" s="172"/>
      <c r="B16" s="161"/>
      <c r="C16" s="161"/>
      <c r="D16" s="4"/>
      <c r="E16" s="171"/>
      <c r="F16" s="161"/>
      <c r="G16" s="161"/>
      <c r="H16" s="4"/>
      <c r="I16" s="169" t="s">
        <v>63</v>
      </c>
      <c r="J16" s="164">
        <v>150</v>
      </c>
      <c r="K16" s="164">
        <v>75</v>
      </c>
      <c r="L16" s="4"/>
      <c r="M16" s="168"/>
      <c r="N16" s="163"/>
      <c r="O16" s="163"/>
      <c r="P16" s="4"/>
      <c r="Q16" s="217">
        <f>B4-R11</f>
        <v>985</v>
      </c>
      <c r="R16" s="217">
        <f>B4-S11</f>
        <v>1366</v>
      </c>
      <c r="S16" s="106"/>
    </row>
    <row r="17" spans="1:19" ht="15" thickBot="1" x14ac:dyDescent="0.35">
      <c r="A17" s="172"/>
      <c r="B17" s="161"/>
      <c r="C17" s="161"/>
      <c r="D17" s="4"/>
      <c r="E17" s="167"/>
      <c r="F17" s="161"/>
      <c r="G17" s="161"/>
      <c r="H17" s="4"/>
      <c r="I17" s="169" t="s">
        <v>16</v>
      </c>
      <c r="J17" s="164">
        <v>40</v>
      </c>
      <c r="K17" s="164">
        <v>40</v>
      </c>
      <c r="L17" s="4"/>
      <c r="M17" s="86" t="s">
        <v>7</v>
      </c>
      <c r="N17" s="154">
        <f>SUM(N8:N16)</f>
        <v>250</v>
      </c>
      <c r="O17" s="155">
        <f>SUM(O8:O16)</f>
        <v>110</v>
      </c>
      <c r="P17" s="4"/>
      <c r="Q17" s="4"/>
      <c r="R17" s="4"/>
      <c r="S17" s="106"/>
    </row>
    <row r="18" spans="1:19" ht="15" thickBot="1" x14ac:dyDescent="0.35">
      <c r="A18" s="172"/>
      <c r="B18" s="161"/>
      <c r="C18" s="161"/>
      <c r="D18" s="4"/>
      <c r="E18" s="168"/>
      <c r="F18" s="163"/>
      <c r="G18" s="163"/>
      <c r="H18" s="4"/>
      <c r="I18" s="169" t="s">
        <v>34</v>
      </c>
      <c r="J18" s="164">
        <v>35</v>
      </c>
      <c r="K18" s="164">
        <v>20</v>
      </c>
      <c r="L18" s="4"/>
      <c r="M18" s="4"/>
      <c r="N18" s="4"/>
      <c r="O18" s="4"/>
      <c r="P18" s="4"/>
      <c r="Q18" s="4"/>
      <c r="R18" s="4"/>
      <c r="S18" s="106"/>
    </row>
    <row r="19" spans="1:19" ht="15" thickBot="1" x14ac:dyDescent="0.35">
      <c r="A19" s="172"/>
      <c r="B19" s="161"/>
      <c r="C19" s="161"/>
      <c r="D19" s="4"/>
      <c r="E19" s="86" t="s">
        <v>7</v>
      </c>
      <c r="F19" s="154">
        <f>SUM(F8:F18)</f>
        <v>268</v>
      </c>
      <c r="G19" s="155">
        <f>SUM(G8:G18)</f>
        <v>368</v>
      </c>
      <c r="H19" s="4"/>
      <c r="I19" s="169" t="s">
        <v>14</v>
      </c>
      <c r="J19" s="164">
        <v>35</v>
      </c>
      <c r="K19" s="164">
        <v>35</v>
      </c>
      <c r="L19" s="4"/>
      <c r="M19" s="4"/>
      <c r="N19" s="4"/>
      <c r="O19" s="4"/>
      <c r="P19" s="4"/>
      <c r="Q19" s="4"/>
      <c r="R19" s="4"/>
      <c r="S19" s="106"/>
    </row>
    <row r="20" spans="1:19" x14ac:dyDescent="0.3">
      <c r="A20" s="172"/>
      <c r="B20" s="161"/>
      <c r="C20" s="161"/>
      <c r="D20" s="4"/>
      <c r="E20" s="4"/>
      <c r="F20" s="4"/>
      <c r="G20" s="4"/>
      <c r="H20" s="4"/>
      <c r="I20" s="169"/>
      <c r="J20" s="164"/>
      <c r="K20" s="164"/>
      <c r="L20" s="4"/>
      <c r="M20" s="4"/>
      <c r="N20" s="4"/>
      <c r="O20" s="4"/>
      <c r="P20" s="4"/>
      <c r="Q20" s="4"/>
      <c r="R20" s="4"/>
      <c r="S20" s="106"/>
    </row>
    <row r="21" spans="1:19" x14ac:dyDescent="0.3">
      <c r="A21" s="172"/>
      <c r="B21" s="161"/>
      <c r="C21" s="161"/>
      <c r="D21" s="4"/>
      <c r="E21" s="4"/>
      <c r="F21" s="4"/>
      <c r="G21" s="4"/>
      <c r="H21" s="4"/>
      <c r="I21" s="169"/>
      <c r="J21" s="164"/>
      <c r="K21" s="165"/>
      <c r="L21" s="4"/>
      <c r="M21" s="4"/>
      <c r="N21" s="4"/>
      <c r="O21" s="4"/>
      <c r="P21" s="4"/>
      <c r="Q21" s="4"/>
      <c r="R21" s="4"/>
      <c r="S21" s="106"/>
    </row>
    <row r="22" spans="1:19" ht="15" thickBot="1" x14ac:dyDescent="0.35">
      <c r="A22" s="174"/>
      <c r="B22" s="163"/>
      <c r="C22" s="163"/>
      <c r="D22" s="4"/>
      <c r="E22" s="4"/>
      <c r="F22" s="4"/>
      <c r="G22" s="4"/>
      <c r="H22" s="4"/>
      <c r="I22" s="169"/>
      <c r="J22" s="164"/>
      <c r="K22" s="165"/>
      <c r="L22" s="4"/>
      <c r="M22" s="4"/>
      <c r="N22" s="4"/>
      <c r="O22" s="4"/>
      <c r="P22" s="4"/>
      <c r="Q22" s="4"/>
      <c r="R22" s="4"/>
      <c r="S22" s="106"/>
    </row>
    <row r="23" spans="1:19" ht="15" thickBot="1" x14ac:dyDescent="0.35">
      <c r="A23" s="87" t="s">
        <v>7</v>
      </c>
      <c r="B23" s="154">
        <f>SUM(B8:B22)</f>
        <v>3690</v>
      </c>
      <c r="C23" s="155">
        <f>SUM(C8:C22)</f>
        <v>3521</v>
      </c>
      <c r="D23" s="4"/>
      <c r="E23" s="4"/>
      <c r="F23" s="4"/>
      <c r="G23" s="4"/>
      <c r="H23" s="4"/>
      <c r="I23" s="169"/>
      <c r="J23" s="164"/>
      <c r="K23" s="165"/>
      <c r="L23" s="4"/>
      <c r="M23" s="4"/>
      <c r="N23" s="4"/>
      <c r="O23" s="4"/>
      <c r="P23" s="4"/>
      <c r="Q23" s="4"/>
      <c r="R23" s="4"/>
      <c r="S23" s="106"/>
    </row>
    <row r="24" spans="1:19" x14ac:dyDescent="0.3">
      <c r="A24" s="105"/>
      <c r="B24" s="4"/>
      <c r="C24" s="4"/>
      <c r="D24" s="4"/>
      <c r="E24" s="4"/>
      <c r="F24" s="4"/>
      <c r="G24" s="4"/>
      <c r="H24" s="4"/>
      <c r="I24" s="170"/>
      <c r="J24" s="163"/>
      <c r="K24" s="163"/>
      <c r="L24" s="4"/>
      <c r="M24" s="4"/>
      <c r="N24" s="4"/>
      <c r="O24" s="4"/>
      <c r="P24" s="4"/>
      <c r="Q24" s="4"/>
      <c r="R24" s="4"/>
      <c r="S24" s="106"/>
    </row>
    <row r="25" spans="1:19" x14ac:dyDescent="0.3">
      <c r="A25" s="105"/>
      <c r="B25" s="4"/>
      <c r="C25" s="4"/>
      <c r="D25" s="4"/>
      <c r="E25" s="4"/>
      <c r="F25" s="4"/>
      <c r="G25" s="4"/>
      <c r="H25" s="4"/>
      <c r="I25" s="170"/>
      <c r="J25" s="163"/>
      <c r="K25" s="163"/>
      <c r="L25" s="4"/>
      <c r="M25" s="4"/>
      <c r="N25" s="4"/>
      <c r="O25" s="4"/>
      <c r="P25" s="4"/>
      <c r="Q25" s="4"/>
      <c r="R25" s="4"/>
      <c r="S25" s="106"/>
    </row>
    <row r="26" spans="1:19" x14ac:dyDescent="0.3">
      <c r="A26" s="105"/>
      <c r="B26" s="4"/>
      <c r="C26" s="4"/>
      <c r="D26" s="4"/>
      <c r="E26" s="4"/>
      <c r="F26" s="4"/>
      <c r="G26" s="4"/>
      <c r="H26" s="4"/>
      <c r="I26" s="89" t="s">
        <v>7</v>
      </c>
      <c r="J26" s="156">
        <f>SUM(J8:J25)</f>
        <v>807</v>
      </c>
      <c r="K26" s="156">
        <f>SUM(K8:K25)</f>
        <v>635</v>
      </c>
      <c r="L26" s="4"/>
      <c r="M26" s="4"/>
      <c r="N26" s="4"/>
      <c r="O26" s="4"/>
      <c r="P26" s="4"/>
      <c r="Q26" s="4"/>
      <c r="R26" s="4"/>
      <c r="S26" s="106"/>
    </row>
    <row r="27" spans="1:19" x14ac:dyDescent="0.3">
      <c r="A27" s="108"/>
      <c r="S27" s="110"/>
    </row>
    <row r="28" spans="1:19" x14ac:dyDescent="0.3">
      <c r="A28" s="108"/>
      <c r="S28" s="110"/>
    </row>
    <row r="29" spans="1:19" ht="15" thickBot="1" x14ac:dyDescent="0.35">
      <c r="A29" s="109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11"/>
    </row>
  </sheetData>
  <mergeCells count="2">
    <mergeCell ref="B3:C3"/>
    <mergeCell ref="B4:C4"/>
  </mergeCells>
  <conditionalFormatting sqref="R16">
    <cfRule type="expression" dxfId="5" priority="4">
      <formula>R16&gt;=0</formula>
    </cfRule>
    <cfRule type="expression" dxfId="4" priority="5">
      <formula>R16&lt;0</formula>
    </cfRule>
  </conditionalFormatting>
  <conditionalFormatting sqref="Q16">
    <cfRule type="expression" dxfId="7" priority="1">
      <formula>Q16&gt;=0</formula>
    </cfRule>
    <cfRule type="expression" dxfId="6" priority="2">
      <formula>Q16&lt;0</formula>
    </cfRule>
  </conditionalFormatting>
  <dataValidations count="1">
    <dataValidation type="list" allowBlank="1" showInputMessage="1" showErrorMessage="1" sqref="B3:C3" xr:uid="{A29DA7A2-6438-47AB-8BC3-0DF0A3FB1571}">
      <formula1>"January, February, March, April, May, June, July, August, September, October, November, December"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1864A-25DB-4E77-BC49-2CE0FAD9DA68}">
  <sheetPr codeName="Sheet1">
    <tabColor rgb="FFFF99CC"/>
  </sheetPr>
  <dimension ref="A1:S29"/>
  <sheetViews>
    <sheetView zoomScale="86" zoomScaleNormal="90" workbookViewId="0">
      <selection activeCell="M20" sqref="M20"/>
    </sheetView>
  </sheetViews>
  <sheetFormatPr defaultRowHeight="14.4" x14ac:dyDescent="0.3"/>
  <cols>
    <col min="1" max="1" width="14.21875" style="1" bestFit="1" customWidth="1"/>
    <col min="2" max="3" width="9.88671875" style="1" bestFit="1" customWidth="1"/>
    <col min="4" max="4" width="9.5546875" style="1" bestFit="1" customWidth="1"/>
    <col min="5" max="5" width="9.77734375" style="1" bestFit="1" customWidth="1"/>
    <col min="6" max="6" width="5.109375" style="1" customWidth="1"/>
    <col min="7" max="7" width="16.6640625" style="1" bestFit="1" customWidth="1"/>
    <col min="8" max="8" width="11.33203125" style="1" customWidth="1"/>
    <col min="9" max="9" width="5" style="1" customWidth="1"/>
    <col min="10" max="10" width="10" style="1" bestFit="1" customWidth="1"/>
    <col min="11" max="11" width="9.88671875" style="1" bestFit="1" customWidth="1"/>
    <col min="12" max="12" width="4.88671875" style="1" customWidth="1"/>
    <col min="13" max="13" width="14.33203125" style="1" bestFit="1" customWidth="1"/>
    <col min="14" max="14" width="9" style="1" bestFit="1" customWidth="1"/>
    <col min="15" max="15" width="14.33203125" style="1" bestFit="1" customWidth="1"/>
    <col min="16" max="16" width="8.88671875" style="1"/>
    <col min="17" max="17" width="10.6640625" style="1" bestFit="1" customWidth="1"/>
    <col min="18" max="19" width="9.88671875" style="1" bestFit="1" customWidth="1"/>
    <col min="20" max="16384" width="8.88671875" style="1"/>
  </cols>
  <sheetData>
    <row r="1" spans="1:19" ht="46.2" x14ac:dyDescent="0.8">
      <c r="A1" s="230" t="s">
        <v>53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143"/>
      <c r="P1" s="143"/>
      <c r="Q1" s="143"/>
      <c r="R1" s="143"/>
      <c r="S1" s="144"/>
    </row>
    <row r="2" spans="1:19" x14ac:dyDescent="0.3">
      <c r="A2" s="105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106"/>
    </row>
    <row r="3" spans="1:19" x14ac:dyDescent="0.3">
      <c r="A3" s="142" t="s">
        <v>5</v>
      </c>
      <c r="B3" s="228">
        <v>2500</v>
      </c>
      <c r="C3" s="229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106"/>
    </row>
    <row r="4" spans="1:19" x14ac:dyDescent="0.3">
      <c r="A4" s="105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106"/>
    </row>
    <row r="5" spans="1:19" ht="21" x14ac:dyDescent="0.3">
      <c r="A5" s="133" t="s">
        <v>51</v>
      </c>
      <c r="B5" s="13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106"/>
    </row>
    <row r="6" spans="1:19" ht="21.6" thickBot="1" x14ac:dyDescent="0.35">
      <c r="A6" s="135" t="s">
        <v>0</v>
      </c>
      <c r="B6" s="136" t="s">
        <v>2</v>
      </c>
      <c r="C6" s="4"/>
      <c r="D6" s="137" t="s">
        <v>9</v>
      </c>
      <c r="E6" s="134"/>
      <c r="F6" s="4"/>
      <c r="G6" s="137" t="s">
        <v>52</v>
      </c>
      <c r="H6" s="134"/>
      <c r="I6" s="4"/>
      <c r="J6" s="137" t="s">
        <v>6</v>
      </c>
      <c r="K6" s="134"/>
      <c r="L6" s="4"/>
      <c r="M6" s="139" t="s">
        <v>11</v>
      </c>
      <c r="N6" s="139" t="s">
        <v>2</v>
      </c>
    </row>
    <row r="7" spans="1:19" ht="15" thickBot="1" x14ac:dyDescent="0.35">
      <c r="A7" s="175" t="s">
        <v>29</v>
      </c>
      <c r="B7" s="176">
        <v>900</v>
      </c>
      <c r="C7" s="4"/>
      <c r="D7" s="136" t="s">
        <v>10</v>
      </c>
      <c r="E7" s="136" t="s">
        <v>2</v>
      </c>
      <c r="F7" s="4"/>
      <c r="G7" s="138" t="s">
        <v>8</v>
      </c>
      <c r="H7" s="138" t="s">
        <v>2</v>
      </c>
      <c r="I7" s="4"/>
      <c r="J7" s="136" t="s">
        <v>6</v>
      </c>
      <c r="K7" s="136" t="s">
        <v>2</v>
      </c>
      <c r="L7" s="4"/>
      <c r="M7" s="132" t="s">
        <v>51</v>
      </c>
      <c r="N7" s="182">
        <f>B22</f>
        <v>2100</v>
      </c>
    </row>
    <row r="8" spans="1:19" x14ac:dyDescent="0.3">
      <c r="A8" s="172" t="s">
        <v>65</v>
      </c>
      <c r="B8" s="177">
        <v>150</v>
      </c>
      <c r="C8" s="4"/>
      <c r="D8" s="180" t="s">
        <v>18</v>
      </c>
      <c r="E8" s="176">
        <v>25</v>
      </c>
      <c r="F8" s="4"/>
      <c r="G8" s="169" t="s">
        <v>62</v>
      </c>
      <c r="H8" s="181">
        <v>50</v>
      </c>
      <c r="I8" s="4"/>
      <c r="J8" s="166" t="s">
        <v>21</v>
      </c>
      <c r="K8" s="176">
        <v>50</v>
      </c>
      <c r="L8" s="4"/>
      <c r="M8" s="83" t="s">
        <v>12</v>
      </c>
      <c r="N8" s="159">
        <f>E19</f>
        <v>280</v>
      </c>
    </row>
    <row r="9" spans="1:19" x14ac:dyDescent="0.3">
      <c r="A9" s="172" t="s">
        <v>43</v>
      </c>
      <c r="B9" s="177"/>
      <c r="C9" s="4"/>
      <c r="D9" s="166" t="s">
        <v>19</v>
      </c>
      <c r="E9" s="177">
        <v>30</v>
      </c>
      <c r="F9" s="4"/>
      <c r="G9" s="169" t="s">
        <v>61</v>
      </c>
      <c r="H9" s="178"/>
      <c r="I9" s="4"/>
      <c r="J9" s="166" t="s">
        <v>22</v>
      </c>
      <c r="K9" s="177">
        <v>25</v>
      </c>
      <c r="L9" s="4"/>
      <c r="M9" s="83" t="s">
        <v>6</v>
      </c>
      <c r="N9" s="159">
        <f>K17</f>
        <v>195</v>
      </c>
    </row>
    <row r="10" spans="1:19" ht="15" thickBot="1" x14ac:dyDescent="0.35">
      <c r="A10" s="172" t="s">
        <v>56</v>
      </c>
      <c r="B10" s="177">
        <v>500</v>
      </c>
      <c r="C10" s="4"/>
      <c r="D10" s="166" t="s">
        <v>20</v>
      </c>
      <c r="E10" s="177"/>
      <c r="F10" s="4"/>
      <c r="G10" s="169" t="s">
        <v>46</v>
      </c>
      <c r="H10" s="178"/>
      <c r="I10" s="4"/>
      <c r="J10" s="166" t="s">
        <v>23</v>
      </c>
      <c r="K10" s="177">
        <v>100</v>
      </c>
      <c r="L10" s="4"/>
      <c r="M10" s="84" t="s">
        <v>52</v>
      </c>
      <c r="N10" s="160">
        <f>H26</f>
        <v>250</v>
      </c>
    </row>
    <row r="11" spans="1:19" ht="15" thickBot="1" x14ac:dyDescent="0.35">
      <c r="A11" s="172" t="s">
        <v>60</v>
      </c>
      <c r="B11" s="177"/>
      <c r="C11" s="4"/>
      <c r="D11" s="166" t="s">
        <v>44</v>
      </c>
      <c r="E11" s="177"/>
      <c r="F11" s="4"/>
      <c r="G11" s="169" t="s">
        <v>13</v>
      </c>
      <c r="H11" s="178"/>
      <c r="I11" s="4"/>
      <c r="J11" s="166" t="s">
        <v>24</v>
      </c>
      <c r="K11" s="177">
        <v>20</v>
      </c>
      <c r="L11" s="4"/>
      <c r="M11" s="85" t="s">
        <v>7</v>
      </c>
      <c r="N11" s="157">
        <f>SUM(N7:N10)</f>
        <v>2825</v>
      </c>
    </row>
    <row r="12" spans="1:19" x14ac:dyDescent="0.3">
      <c r="A12" s="173" t="s">
        <v>57</v>
      </c>
      <c r="B12" s="178">
        <v>300</v>
      </c>
      <c r="C12" s="4"/>
      <c r="D12" s="171" t="s">
        <v>27</v>
      </c>
      <c r="E12" s="177">
        <v>150</v>
      </c>
      <c r="F12" s="4"/>
      <c r="G12" s="169" t="s">
        <v>17</v>
      </c>
      <c r="H12" s="178"/>
      <c r="I12" s="4"/>
      <c r="J12" s="166" t="s">
        <v>25</v>
      </c>
      <c r="K12" s="177"/>
      <c r="L12" s="4"/>
      <c r="M12" s="4"/>
      <c r="N12" s="4"/>
      <c r="O12" s="106"/>
    </row>
    <row r="13" spans="1:19" x14ac:dyDescent="0.3">
      <c r="A13" s="169" t="s">
        <v>58</v>
      </c>
      <c r="B13" s="178"/>
      <c r="C13" s="4"/>
      <c r="D13" s="171" t="s">
        <v>26</v>
      </c>
      <c r="E13" s="177">
        <v>75</v>
      </c>
      <c r="F13" s="4"/>
      <c r="G13" s="169" t="s">
        <v>64</v>
      </c>
      <c r="H13" s="178">
        <v>100</v>
      </c>
      <c r="I13" s="4"/>
      <c r="J13" s="167"/>
      <c r="K13" s="177"/>
      <c r="L13" s="4"/>
      <c r="M13" s="4"/>
      <c r="N13" s="4"/>
      <c r="O13" s="106"/>
    </row>
    <row r="14" spans="1:19" ht="18" x14ac:dyDescent="0.3">
      <c r="A14" s="169" t="s">
        <v>59</v>
      </c>
      <c r="B14" s="178">
        <v>250</v>
      </c>
      <c r="C14" s="4"/>
      <c r="D14" s="171"/>
      <c r="E14" s="177"/>
      <c r="F14" s="4"/>
      <c r="G14" s="169" t="s">
        <v>30</v>
      </c>
      <c r="H14" s="178">
        <v>75</v>
      </c>
      <c r="I14" s="4"/>
      <c r="J14" s="167"/>
      <c r="K14" s="177"/>
      <c r="L14" s="4"/>
      <c r="M14" s="140" t="s">
        <v>28</v>
      </c>
      <c r="N14" s="106"/>
    </row>
    <row r="15" spans="1:19" ht="15" thickBot="1" x14ac:dyDescent="0.35">
      <c r="A15" s="172"/>
      <c r="B15" s="177"/>
      <c r="C15" s="4"/>
      <c r="D15" s="171"/>
      <c r="E15" s="177"/>
      <c r="F15" s="4"/>
      <c r="G15" s="169" t="s">
        <v>15</v>
      </c>
      <c r="H15" s="178"/>
      <c r="I15" s="4"/>
      <c r="J15" s="167"/>
      <c r="K15" s="177"/>
      <c r="L15" s="4"/>
      <c r="M15" s="141" t="s">
        <v>2</v>
      </c>
      <c r="N15" s="106"/>
    </row>
    <row r="16" spans="1:19" ht="15" thickBot="1" x14ac:dyDescent="0.35">
      <c r="A16" s="172"/>
      <c r="B16" s="177"/>
      <c r="C16" s="4"/>
      <c r="D16" s="171"/>
      <c r="E16" s="177"/>
      <c r="F16" s="4"/>
      <c r="G16" s="169" t="s">
        <v>63</v>
      </c>
      <c r="H16" s="178"/>
      <c r="I16" s="4"/>
      <c r="J16" s="168"/>
      <c r="K16" s="179"/>
      <c r="L16" s="4"/>
      <c r="M16" s="216">
        <f>B3-N11</f>
        <v>-325</v>
      </c>
      <c r="N16" s="106"/>
    </row>
    <row r="17" spans="1:19" ht="15" thickBot="1" x14ac:dyDescent="0.35">
      <c r="A17" s="172"/>
      <c r="B17" s="177"/>
      <c r="C17" s="4"/>
      <c r="D17" s="167"/>
      <c r="E17" s="177"/>
      <c r="F17" s="4"/>
      <c r="G17" s="169" t="s">
        <v>16</v>
      </c>
      <c r="H17" s="178"/>
      <c r="I17" s="4"/>
      <c r="J17" s="86" t="s">
        <v>7</v>
      </c>
      <c r="K17" s="154">
        <f>SUM(K8:K16)</f>
        <v>195</v>
      </c>
      <c r="L17" s="4"/>
      <c r="M17" s="4"/>
      <c r="N17" s="4"/>
      <c r="O17" s="106"/>
    </row>
    <row r="18" spans="1:19" ht="15" thickBot="1" x14ac:dyDescent="0.35">
      <c r="A18" s="172"/>
      <c r="B18" s="177"/>
      <c r="C18" s="4"/>
      <c r="D18" s="168"/>
      <c r="E18" s="179"/>
      <c r="F18" s="4"/>
      <c r="G18" s="169" t="s">
        <v>34</v>
      </c>
      <c r="H18" s="178"/>
      <c r="I18" s="4"/>
      <c r="J18" s="4"/>
      <c r="K18" s="4"/>
      <c r="L18" s="4"/>
      <c r="M18" s="4"/>
      <c r="N18" s="4"/>
      <c r="O18" s="4"/>
      <c r="P18" s="106"/>
    </row>
    <row r="19" spans="1:19" ht="15" thickBot="1" x14ac:dyDescent="0.35">
      <c r="A19" s="172"/>
      <c r="B19" s="177"/>
      <c r="C19" s="4"/>
      <c r="D19" s="86" t="s">
        <v>7</v>
      </c>
      <c r="E19" s="154">
        <f>SUM(E8:E18)</f>
        <v>280</v>
      </c>
      <c r="F19" s="4"/>
      <c r="G19" s="169" t="s">
        <v>14</v>
      </c>
      <c r="H19" s="178">
        <v>25</v>
      </c>
      <c r="I19" s="4"/>
      <c r="J19" s="4"/>
      <c r="K19" s="4"/>
      <c r="L19" s="4"/>
      <c r="M19" s="4"/>
      <c r="N19" s="4"/>
      <c r="O19" s="4"/>
      <c r="P19" s="106"/>
    </row>
    <row r="20" spans="1:19" x14ac:dyDescent="0.3">
      <c r="A20" s="172"/>
      <c r="B20" s="177"/>
      <c r="C20" s="4"/>
      <c r="D20" s="4"/>
      <c r="E20" s="4"/>
      <c r="F20" s="4"/>
      <c r="G20" s="169"/>
      <c r="H20" s="178"/>
      <c r="I20" s="4"/>
      <c r="J20" s="4"/>
      <c r="K20" s="4"/>
      <c r="L20" s="4"/>
      <c r="M20" s="4"/>
      <c r="N20" s="4"/>
      <c r="O20" s="4"/>
      <c r="P20" s="4"/>
      <c r="Q20" s="106"/>
    </row>
    <row r="21" spans="1:19" ht="15" thickBot="1" x14ac:dyDescent="0.35">
      <c r="A21" s="174"/>
      <c r="B21" s="179"/>
      <c r="C21" s="4"/>
      <c r="D21" s="4"/>
      <c r="E21" s="4"/>
      <c r="F21" s="4"/>
      <c r="G21" s="169"/>
      <c r="H21" s="178"/>
      <c r="I21" s="4"/>
      <c r="J21" s="4"/>
      <c r="K21" s="4"/>
      <c r="L21" s="4"/>
      <c r="M21" s="4"/>
      <c r="N21" s="4"/>
      <c r="O21" s="4"/>
      <c r="P21" s="4"/>
      <c r="Q21" s="106"/>
    </row>
    <row r="22" spans="1:19" ht="15" thickBot="1" x14ac:dyDescent="0.35">
      <c r="A22" s="87" t="s">
        <v>7</v>
      </c>
      <c r="B22" s="154">
        <f>SUM(B7:B21)</f>
        <v>2100</v>
      </c>
      <c r="C22" s="4"/>
      <c r="D22" s="4"/>
      <c r="E22" s="4"/>
      <c r="F22" s="4"/>
      <c r="G22" s="169"/>
      <c r="H22" s="178"/>
      <c r="I22" s="4"/>
      <c r="J22" s="4"/>
      <c r="K22" s="4"/>
      <c r="L22" s="4"/>
      <c r="M22" s="4"/>
      <c r="N22" s="4"/>
      <c r="O22" s="4"/>
      <c r="P22" s="4"/>
      <c r="Q22" s="106"/>
    </row>
    <row r="23" spans="1:19" x14ac:dyDescent="0.3">
      <c r="A23" s="105"/>
      <c r="B23" s="4"/>
      <c r="C23" s="4"/>
      <c r="D23" s="4"/>
      <c r="E23" s="4"/>
      <c r="F23" s="4"/>
      <c r="G23" s="169"/>
      <c r="H23" s="178"/>
      <c r="I23" s="4"/>
      <c r="J23" s="4"/>
      <c r="K23" s="4"/>
      <c r="L23" s="4"/>
      <c r="M23" s="4"/>
      <c r="N23" s="4"/>
      <c r="O23" s="4"/>
      <c r="P23" s="4"/>
      <c r="Q23" s="106"/>
    </row>
    <row r="24" spans="1:19" x14ac:dyDescent="0.3">
      <c r="A24" s="105"/>
      <c r="B24" s="4"/>
      <c r="C24" s="4"/>
      <c r="D24" s="4"/>
      <c r="E24" s="4"/>
      <c r="F24" s="4"/>
      <c r="G24" s="170"/>
      <c r="H24" s="179"/>
      <c r="I24" s="4"/>
      <c r="J24" s="4"/>
      <c r="K24" s="4"/>
      <c r="L24" s="4"/>
      <c r="M24" s="4"/>
      <c r="N24" s="4"/>
      <c r="O24" s="4"/>
      <c r="P24" s="4"/>
      <c r="Q24" s="4"/>
      <c r="R24" s="106"/>
    </row>
    <row r="25" spans="1:19" x14ac:dyDescent="0.3">
      <c r="A25" s="105"/>
      <c r="B25" s="4"/>
      <c r="C25" s="4"/>
      <c r="D25" s="4"/>
      <c r="E25" s="4"/>
      <c r="F25" s="4"/>
      <c r="G25" s="170"/>
      <c r="H25" s="179"/>
      <c r="I25" s="4"/>
      <c r="J25" s="4"/>
      <c r="K25" s="4"/>
      <c r="L25" s="4"/>
      <c r="M25" s="4"/>
      <c r="N25" s="4"/>
      <c r="O25" s="4"/>
      <c r="P25" s="4"/>
      <c r="Q25" s="4"/>
      <c r="R25" s="106"/>
    </row>
    <row r="26" spans="1:19" x14ac:dyDescent="0.3">
      <c r="A26" s="108"/>
      <c r="D26" s="4"/>
      <c r="E26" s="4"/>
      <c r="F26" s="4"/>
      <c r="G26" s="89" t="s">
        <v>7</v>
      </c>
      <c r="H26" s="156">
        <f>SUM(H8:H25)</f>
        <v>250</v>
      </c>
      <c r="I26" s="4"/>
      <c r="J26" s="4"/>
      <c r="K26" s="4"/>
      <c r="L26" s="4"/>
      <c r="M26" s="4"/>
      <c r="N26" s="4"/>
      <c r="O26" s="4"/>
      <c r="P26" s="4"/>
      <c r="Q26" s="4"/>
      <c r="R26" s="106"/>
    </row>
    <row r="27" spans="1:19" x14ac:dyDescent="0.3">
      <c r="A27" s="108"/>
      <c r="S27" s="110"/>
    </row>
    <row r="28" spans="1:19" ht="15" thickBot="1" x14ac:dyDescent="0.35">
      <c r="A28" s="109"/>
      <c r="B28" s="107"/>
      <c r="C28" s="107"/>
      <c r="S28" s="110"/>
    </row>
    <row r="29" spans="1:19" ht="15" thickBot="1" x14ac:dyDescent="0.35"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11"/>
    </row>
  </sheetData>
  <sheetProtection algorithmName="SHA-512" hashValue="0PURu//i9m3GBk/EDUKoA6M41oOOS4OfjRzXD2rYeOP/ZP5jkh/b6WxtZEPb7ur5X+i8AR2F3Pk94NVz8LrTOg==" saltValue="xJpRN/e8FLoKMXyinjKM0g==" spinCount="100000" sheet="1" objects="1" scenarios="1"/>
  <mergeCells count="2">
    <mergeCell ref="B3:C3"/>
    <mergeCell ref="A1:N1"/>
  </mergeCells>
  <conditionalFormatting sqref="G8:G19">
    <cfRule type="expression" dxfId="19" priority="16">
      <formula>S8=TRUE</formula>
    </cfRule>
  </conditionalFormatting>
  <conditionalFormatting sqref="E22">
    <cfRule type="expression" dxfId="18" priority="15">
      <formula>"$B$7:$B$21"</formula>
    </cfRule>
  </conditionalFormatting>
  <conditionalFormatting sqref="B7:B21">
    <cfRule type="expression" dxfId="17" priority="13">
      <formula>B7&lt;&gt;""</formula>
    </cfRule>
  </conditionalFormatting>
  <conditionalFormatting sqref="D20">
    <cfRule type="expression" dxfId="16" priority="10">
      <formula>K8&lt;&gt;""</formula>
    </cfRule>
    <cfRule type="expression" dxfId="15" priority="11">
      <formula>H8&lt;&gt;""</formula>
    </cfRule>
    <cfRule type="expression" dxfId="14" priority="12">
      <formula>"E8&lt;&gt;"""""</formula>
    </cfRule>
  </conditionalFormatting>
  <conditionalFormatting sqref="B3:C3">
    <cfRule type="expression" dxfId="13" priority="9">
      <formula>B3</formula>
    </cfRule>
  </conditionalFormatting>
  <conditionalFormatting sqref="M16">
    <cfRule type="expression" dxfId="12" priority="7">
      <formula>M16&gt;=0</formula>
    </cfRule>
    <cfRule type="expression" dxfId="11" priority="8">
      <formula>M16&lt;0</formula>
    </cfRule>
  </conditionalFormatting>
  <conditionalFormatting sqref="E8:E18">
    <cfRule type="expression" dxfId="10" priority="3">
      <formula>E8&lt;&gt;""</formula>
    </cfRule>
  </conditionalFormatting>
  <conditionalFormatting sqref="H8:H25">
    <cfRule type="expression" dxfId="9" priority="2">
      <formula>H8&lt;&gt;""</formula>
    </cfRule>
  </conditionalFormatting>
  <conditionalFormatting sqref="K8:K16">
    <cfRule type="expression" dxfId="8" priority="1">
      <formula>K8&lt;&gt;""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704FC-7DD2-4A85-A0E5-196602DB23B5}">
  <sheetPr codeName="Sheet4">
    <tabColor theme="8"/>
  </sheetPr>
  <dimension ref="A1:Q46"/>
  <sheetViews>
    <sheetView showGridLines="0" zoomScaleNormal="100" workbookViewId="0">
      <selection activeCell="O18" sqref="O18"/>
    </sheetView>
  </sheetViews>
  <sheetFormatPr defaultColWidth="8.88671875" defaultRowHeight="14.4" x14ac:dyDescent="0.3"/>
  <cols>
    <col min="1" max="1" width="19.21875" style="1" bestFit="1" customWidth="1"/>
    <col min="2" max="2" width="16.44140625" style="1" bestFit="1" customWidth="1"/>
    <col min="3" max="3" width="12.88671875" style="1" customWidth="1"/>
    <col min="4" max="4" width="13.5546875" style="1" customWidth="1"/>
    <col min="5" max="5" width="15.44140625" style="1" customWidth="1"/>
    <col min="6" max="6" width="14.33203125" style="1" bestFit="1" customWidth="1"/>
    <col min="7" max="7" width="14.44140625" style="1" customWidth="1"/>
    <col min="8" max="8" width="12" style="1" customWidth="1"/>
    <col min="9" max="9" width="11.6640625" style="1" customWidth="1"/>
    <col min="10" max="10" width="12.109375" style="1" customWidth="1"/>
    <col min="11" max="12" width="11.77734375" style="1" customWidth="1"/>
    <col min="13" max="13" width="10" style="1" customWidth="1"/>
    <col min="14" max="14" width="17.6640625" style="1" customWidth="1"/>
    <col min="15" max="15" width="14.21875" style="1" bestFit="1" customWidth="1"/>
    <col min="16" max="16" width="10.109375" style="1" bestFit="1" customWidth="1"/>
    <col min="17" max="16384" width="8.88671875" style="1"/>
  </cols>
  <sheetData>
    <row r="1" spans="1:17" ht="24.6" x14ac:dyDescent="0.4">
      <c r="A1" s="69" t="s">
        <v>42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116"/>
      <c r="P1" s="4"/>
    </row>
    <row r="2" spans="1:17" ht="53.4" thickBot="1" x14ac:dyDescent="0.35">
      <c r="A2" s="117" t="s">
        <v>31</v>
      </c>
      <c r="B2" s="72" t="s">
        <v>45</v>
      </c>
      <c r="C2" s="72" t="s">
        <v>38</v>
      </c>
      <c r="D2" s="72" t="s">
        <v>33</v>
      </c>
      <c r="E2" s="73" t="s">
        <v>32</v>
      </c>
      <c r="F2" s="74" t="s">
        <v>49</v>
      </c>
      <c r="G2" s="75" t="s">
        <v>50</v>
      </c>
      <c r="H2" s="73" t="s">
        <v>35</v>
      </c>
      <c r="I2" s="76" t="s">
        <v>36</v>
      </c>
      <c r="J2" s="215" t="s">
        <v>67</v>
      </c>
      <c r="K2" s="76" t="s">
        <v>47</v>
      </c>
      <c r="L2" s="76" t="s">
        <v>48</v>
      </c>
      <c r="M2" s="119" t="s">
        <v>54</v>
      </c>
      <c r="N2" s="146"/>
    </row>
    <row r="3" spans="1:17" ht="16.2" thickBot="1" x14ac:dyDescent="0.35">
      <c r="A3" s="120" t="s">
        <v>62</v>
      </c>
      <c r="B3" s="192">
        <f>CCPaymentBreakdown[[#This Row],[Amount balance]]/CCPaymentBreakdown[[#This Row],[Limit]]</f>
        <v>0.46153846153846156</v>
      </c>
      <c r="C3" s="183">
        <v>650</v>
      </c>
      <c r="D3" s="218">
        <f t="shared" ref="D3:D14" si="0">C3-E3</f>
        <v>350</v>
      </c>
      <c r="E3" s="219">
        <v>300</v>
      </c>
      <c r="F3" s="71">
        <f>CCPaymentBreakdown[[#This Row],[Limit]]*0.3</f>
        <v>195</v>
      </c>
      <c r="G3" s="194">
        <f>IF(CCPaymentBreakdown[[#This Row],[Utilization]]&lt;=30%,0,CCPaymentBreakdown[[#This Row],[Amount balance]]-CCPaymentBreakdown[[#This Row],[30% Utilization Target]])</f>
        <v>105</v>
      </c>
      <c r="H3" s="195">
        <v>0.28739999999999999</v>
      </c>
      <c r="I3" s="186">
        <v>50</v>
      </c>
      <c r="J3" s="200">
        <f t="shared" ref="J3:J6" si="1">IF(E3=0,0,E3*H3/12+I3)</f>
        <v>57.185000000000002</v>
      </c>
      <c r="K3" s="195">
        <f>IFERROR(I3/E3,0)</f>
        <v>0.16666666666666666</v>
      </c>
      <c r="L3" s="201">
        <f t="shared" ref="L3:L14" si="2">K3*0.6 + B3*0.4</f>
        <v>0.2846153846153846</v>
      </c>
      <c r="M3" s="189" t="b">
        <v>0</v>
      </c>
      <c r="N3" s="147"/>
    </row>
    <row r="4" spans="1:17" ht="16.2" thickBot="1" x14ac:dyDescent="0.35">
      <c r="A4" s="121" t="s">
        <v>61</v>
      </c>
      <c r="B4" s="192">
        <f>CCPaymentBreakdown[[#This Row],[Amount balance]]/CCPaymentBreakdown[[#This Row],[Limit]]</f>
        <v>0.5</v>
      </c>
      <c r="C4" s="184">
        <v>600</v>
      </c>
      <c r="D4" s="220">
        <f t="shared" si="0"/>
        <v>300</v>
      </c>
      <c r="E4" s="221">
        <v>300</v>
      </c>
      <c r="F4" s="71">
        <f>CCPaymentBreakdown[[#This Row],[Limit]]*0.3</f>
        <v>180</v>
      </c>
      <c r="G4" s="196">
        <f>IF(CCPaymentBreakdown[[#This Row],[Utilization]]&lt;=30%,0,CCPaymentBreakdown[[#This Row],[Amount balance]]-CCPaymentBreakdown[[#This Row],[30% Utilization Target]])</f>
        <v>120</v>
      </c>
      <c r="H4" s="197">
        <v>0.2974</v>
      </c>
      <c r="I4" s="187">
        <v>100</v>
      </c>
      <c r="J4" s="200">
        <f t="shared" si="1"/>
        <v>107.435</v>
      </c>
      <c r="K4" s="195">
        <f t="shared" ref="K4:K14" si="3">IFERROR(I4/E4,0)</f>
        <v>0.33333333333333331</v>
      </c>
      <c r="L4" s="202">
        <f t="shared" si="2"/>
        <v>0.4</v>
      </c>
      <c r="M4" s="190" t="b">
        <v>1</v>
      </c>
      <c r="N4" s="148"/>
    </row>
    <row r="5" spans="1:17" ht="16.2" thickBot="1" x14ac:dyDescent="0.35">
      <c r="A5" s="121" t="s">
        <v>46</v>
      </c>
      <c r="B5" s="192">
        <f>CCPaymentBreakdown[[#This Row],[Amount balance]]/CCPaymentBreakdown[[#This Row],[Limit]]</f>
        <v>0.84057971014492749</v>
      </c>
      <c r="C5" s="184">
        <v>6900</v>
      </c>
      <c r="D5" s="220">
        <f t="shared" si="0"/>
        <v>1100</v>
      </c>
      <c r="E5" s="221">
        <v>5800</v>
      </c>
      <c r="F5" s="71">
        <f>CCPaymentBreakdown[[#This Row],[Limit]]*0.3</f>
        <v>2070</v>
      </c>
      <c r="G5" s="196">
        <f>IF(CCPaymentBreakdown[[#This Row],[Utilization]]&lt;=30%,0,CCPaymentBreakdown[[#This Row],[Amount balance]]-CCPaymentBreakdown[[#This Row],[30% Utilization Target]])</f>
        <v>3730</v>
      </c>
      <c r="H5" s="197">
        <v>0</v>
      </c>
      <c r="I5" s="187">
        <v>50</v>
      </c>
      <c r="J5" s="200">
        <f t="shared" si="1"/>
        <v>50</v>
      </c>
      <c r="K5" s="195">
        <f t="shared" si="3"/>
        <v>8.6206896551724137E-3</v>
      </c>
      <c r="L5" s="202">
        <f t="shared" si="2"/>
        <v>0.34140429785107446</v>
      </c>
      <c r="M5" s="190" t="b">
        <v>0</v>
      </c>
      <c r="N5" s="148"/>
    </row>
    <row r="6" spans="1:17" ht="16.2" thickBot="1" x14ac:dyDescent="0.35">
      <c r="A6" s="121" t="s">
        <v>13</v>
      </c>
      <c r="B6" s="192">
        <f>CCPaymentBreakdown[[#This Row],[Amount balance]]/CCPaymentBreakdown[[#This Row],[Limit]]</f>
        <v>1</v>
      </c>
      <c r="C6" s="184">
        <v>1900</v>
      </c>
      <c r="D6" s="220">
        <f t="shared" si="0"/>
        <v>0</v>
      </c>
      <c r="E6" s="221">
        <v>1900</v>
      </c>
      <c r="F6" s="71">
        <f>CCPaymentBreakdown[[#This Row],[Limit]]*0.3</f>
        <v>570</v>
      </c>
      <c r="G6" s="196">
        <f>IF(CCPaymentBreakdown[[#This Row],[Utilization]]&lt;=30%,0,CCPaymentBreakdown[[#This Row],[Amount balance]]-CCPaymentBreakdown[[#This Row],[30% Utilization Target]])</f>
        <v>1330</v>
      </c>
      <c r="H6" s="197">
        <v>0.2949</v>
      </c>
      <c r="I6" s="187">
        <v>200</v>
      </c>
      <c r="J6" s="200">
        <f t="shared" si="1"/>
        <v>246.6925</v>
      </c>
      <c r="K6" s="195">
        <f t="shared" si="3"/>
        <v>0.10526315789473684</v>
      </c>
      <c r="L6" s="202">
        <f t="shared" si="2"/>
        <v>0.4631578947368421</v>
      </c>
      <c r="M6" s="190" t="b">
        <v>0</v>
      </c>
      <c r="N6" s="148"/>
    </row>
    <row r="7" spans="1:17" ht="16.2" thickBot="1" x14ac:dyDescent="0.35">
      <c r="A7" s="121" t="s">
        <v>17</v>
      </c>
      <c r="B7" s="192">
        <f>CCPaymentBreakdown[[#This Row],[Amount balance]]/CCPaymentBreakdown[[#This Row],[Limit]]</f>
        <v>0.1</v>
      </c>
      <c r="C7" s="184">
        <v>2800</v>
      </c>
      <c r="D7" s="220">
        <f t="shared" si="0"/>
        <v>2520</v>
      </c>
      <c r="E7" s="221">
        <v>280</v>
      </c>
      <c r="F7" s="71">
        <f>CCPaymentBreakdown[[#This Row],[Limit]]*0.3</f>
        <v>840</v>
      </c>
      <c r="G7" s="196">
        <f>IF(CCPaymentBreakdown[[#This Row],[Utilization]]&lt;=30%,0,CCPaymentBreakdown[[#This Row],[Amount balance]]-CCPaymentBreakdown[[#This Row],[30% Utilization Target]])</f>
        <v>0</v>
      </c>
      <c r="H7" s="197">
        <v>0.29949999999999999</v>
      </c>
      <c r="I7" s="187">
        <v>25</v>
      </c>
      <c r="J7" s="200">
        <f>IF(E7=0,0,E7*H7/12+I7)</f>
        <v>31.988333333333333</v>
      </c>
      <c r="K7" s="195">
        <f t="shared" si="3"/>
        <v>8.9285714285714288E-2</v>
      </c>
      <c r="L7" s="202">
        <f t="shared" si="2"/>
        <v>9.3571428571428583E-2</v>
      </c>
      <c r="M7" s="190" t="b">
        <v>1</v>
      </c>
      <c r="N7" s="148"/>
    </row>
    <row r="8" spans="1:17" ht="16.2" thickBot="1" x14ac:dyDescent="0.35">
      <c r="A8" s="121" t="s">
        <v>64</v>
      </c>
      <c r="B8" s="192">
        <f>CCPaymentBreakdown[[#This Row],[Amount balance]]/CCPaymentBreakdown[[#This Row],[Limit]]</f>
        <v>0.35714285714285715</v>
      </c>
      <c r="C8" s="184">
        <v>2100</v>
      </c>
      <c r="D8" s="220">
        <f t="shared" si="0"/>
        <v>1350</v>
      </c>
      <c r="E8" s="221">
        <v>750</v>
      </c>
      <c r="F8" s="71">
        <f>CCPaymentBreakdown[[#This Row],[Limit]]*0.3</f>
        <v>630</v>
      </c>
      <c r="G8" s="196">
        <f>IF(CCPaymentBreakdown[[#This Row],[Utilization]]&lt;=30%,0,CCPaymentBreakdown[[#This Row],[Amount balance]]-CCPaymentBreakdown[[#This Row],[30% Utilization Target]])</f>
        <v>120</v>
      </c>
      <c r="H8" s="197">
        <v>0.27489999999999998</v>
      </c>
      <c r="I8" s="187">
        <v>50</v>
      </c>
      <c r="J8" s="200">
        <f t="shared" ref="J8:J14" si="4">IF(E8=0,0,E8*H8/12+I8)</f>
        <v>67.181250000000006</v>
      </c>
      <c r="K8" s="195">
        <f t="shared" si="3"/>
        <v>6.6666666666666666E-2</v>
      </c>
      <c r="L8" s="202">
        <f t="shared" si="2"/>
        <v>0.18285714285714288</v>
      </c>
      <c r="M8" s="190" t="b">
        <v>0</v>
      </c>
      <c r="N8" s="148"/>
    </row>
    <row r="9" spans="1:17" ht="16.2" thickBot="1" x14ac:dyDescent="0.35">
      <c r="A9" s="121" t="s">
        <v>30</v>
      </c>
      <c r="B9" s="192">
        <f>CCPaymentBreakdown[[#This Row],[Amount balance]]/CCPaymentBreakdown[[#This Row],[Limit]]</f>
        <v>3.5714285714285712E-2</v>
      </c>
      <c r="C9" s="184">
        <v>2800</v>
      </c>
      <c r="D9" s="220">
        <f t="shared" si="0"/>
        <v>2700</v>
      </c>
      <c r="E9" s="221">
        <v>100</v>
      </c>
      <c r="F9" s="71">
        <f>CCPaymentBreakdown[[#This Row],[Limit]]*0.3</f>
        <v>840</v>
      </c>
      <c r="G9" s="196">
        <f>IF(CCPaymentBreakdown[[#This Row],[Utilization]]&lt;=30%,0,CCPaymentBreakdown[[#This Row],[Amount balance]]-CCPaymentBreakdown[[#This Row],[30% Utilization Target]])</f>
        <v>0</v>
      </c>
      <c r="H9" s="197">
        <v>0.27489999999999998</v>
      </c>
      <c r="I9" s="187">
        <v>25</v>
      </c>
      <c r="J9" s="200">
        <f t="shared" si="4"/>
        <v>27.290833333333332</v>
      </c>
      <c r="K9" s="195">
        <f t="shared" si="3"/>
        <v>0.25</v>
      </c>
      <c r="L9" s="202">
        <f t="shared" si="2"/>
        <v>0.16428571428571428</v>
      </c>
      <c r="M9" s="190" t="b">
        <v>0</v>
      </c>
      <c r="N9" s="148"/>
      <c r="O9" s="1" t="s">
        <v>55</v>
      </c>
    </row>
    <row r="10" spans="1:17" ht="16.2" thickBot="1" x14ac:dyDescent="0.35">
      <c r="A10" s="121" t="s">
        <v>15</v>
      </c>
      <c r="B10" s="192">
        <f>CCPaymentBreakdown[[#This Row],[Amount balance]]/CCPaymentBreakdown[[#This Row],[Limit]]</f>
        <v>0.65714285714285714</v>
      </c>
      <c r="C10" s="184">
        <v>3500</v>
      </c>
      <c r="D10" s="220">
        <f t="shared" si="0"/>
        <v>1200</v>
      </c>
      <c r="E10" s="221">
        <v>2300</v>
      </c>
      <c r="F10" s="71">
        <f>CCPaymentBreakdown[[#This Row],[Limit]]*0.3</f>
        <v>1050</v>
      </c>
      <c r="G10" s="196">
        <f>IF(CCPaymentBreakdown[[#This Row],[Utilization]]&lt;=30%,0,CCPaymentBreakdown[[#This Row],[Amount balance]]-CCPaymentBreakdown[[#This Row],[30% Utilization Target]])</f>
        <v>1250</v>
      </c>
      <c r="H10" s="197">
        <v>0.28239999999999998</v>
      </c>
      <c r="I10" s="187">
        <v>75</v>
      </c>
      <c r="J10" s="200">
        <f t="shared" si="4"/>
        <v>129.12666666666667</v>
      </c>
      <c r="K10" s="195">
        <f t="shared" si="3"/>
        <v>3.2608695652173912E-2</v>
      </c>
      <c r="L10" s="202">
        <f t="shared" si="2"/>
        <v>0.28242236024844719</v>
      </c>
      <c r="M10" s="190" t="b">
        <v>0</v>
      </c>
      <c r="N10" s="148"/>
    </row>
    <row r="11" spans="1:17" ht="16.2" thickBot="1" x14ac:dyDescent="0.35">
      <c r="A11" s="121" t="s">
        <v>63</v>
      </c>
      <c r="B11" s="192">
        <f>CCPaymentBreakdown[[#This Row],[Amount balance]]/CCPaymentBreakdown[[#This Row],[Limit]]</f>
        <v>0</v>
      </c>
      <c r="C11" s="184">
        <v>1050</v>
      </c>
      <c r="D11" s="220">
        <f t="shared" si="0"/>
        <v>1050</v>
      </c>
      <c r="E11" s="221">
        <v>0</v>
      </c>
      <c r="F11" s="71">
        <f>CCPaymentBreakdown[[#This Row],[Limit]]*0.3</f>
        <v>315</v>
      </c>
      <c r="G11" s="196">
        <f>IF(CCPaymentBreakdown[[#This Row],[Utilization]]&lt;=30%,0,CCPaymentBreakdown[[#This Row],[Amount balance]]-CCPaymentBreakdown[[#This Row],[30% Utilization Target]])</f>
        <v>0</v>
      </c>
      <c r="H11" s="197">
        <v>0.28489999999999999</v>
      </c>
      <c r="I11" s="187">
        <v>0</v>
      </c>
      <c r="J11" s="200">
        <f t="shared" si="4"/>
        <v>0</v>
      </c>
      <c r="K11" s="195">
        <f t="shared" si="3"/>
        <v>0</v>
      </c>
      <c r="L11" s="202">
        <f t="shared" si="2"/>
        <v>0</v>
      </c>
      <c r="M11" s="190" t="b">
        <v>0</v>
      </c>
      <c r="N11" s="148"/>
    </row>
    <row r="12" spans="1:17" ht="16.2" thickBot="1" x14ac:dyDescent="0.35">
      <c r="A12" s="121" t="s">
        <v>16</v>
      </c>
      <c r="B12" s="192">
        <f>CCPaymentBreakdown[[#This Row],[Amount balance]]/CCPaymentBreakdown[[#This Row],[Limit]]</f>
        <v>0.23333333333333334</v>
      </c>
      <c r="C12" s="184">
        <v>1500</v>
      </c>
      <c r="D12" s="220">
        <f t="shared" si="0"/>
        <v>1150</v>
      </c>
      <c r="E12" s="221">
        <v>350</v>
      </c>
      <c r="F12" s="71">
        <f>CCPaymentBreakdown[[#This Row],[Limit]]*0.3</f>
        <v>450</v>
      </c>
      <c r="G12" s="196">
        <f>IF(CCPaymentBreakdown[[#This Row],[Utilization]]&lt;=30%,0,CCPaymentBreakdown[[#This Row],[Amount balance]]-CCPaymentBreakdown[[#This Row],[30% Utilization Target]])</f>
        <v>0</v>
      </c>
      <c r="H12" s="197">
        <v>0.33739999999999998</v>
      </c>
      <c r="I12" s="187">
        <v>30</v>
      </c>
      <c r="J12" s="200">
        <f t="shared" si="4"/>
        <v>39.840833333333336</v>
      </c>
      <c r="K12" s="195">
        <f t="shared" si="3"/>
        <v>8.5714285714285715E-2</v>
      </c>
      <c r="L12" s="202">
        <f t="shared" si="2"/>
        <v>0.14476190476190476</v>
      </c>
      <c r="M12" s="190" t="b">
        <v>0</v>
      </c>
      <c r="N12" s="148"/>
    </row>
    <row r="13" spans="1:17" ht="16.2" thickBot="1" x14ac:dyDescent="0.35">
      <c r="A13" s="121" t="s">
        <v>34</v>
      </c>
      <c r="B13" s="192">
        <f>CCPaymentBreakdown[[#This Row],[Amount balance]]/CCPaymentBreakdown[[#This Row],[Limit]]</f>
        <v>0.76388888888888884</v>
      </c>
      <c r="C13" s="184">
        <v>7200</v>
      </c>
      <c r="D13" s="220">
        <f t="shared" si="0"/>
        <v>1700</v>
      </c>
      <c r="E13" s="221">
        <v>5500</v>
      </c>
      <c r="F13" s="71">
        <f>CCPaymentBreakdown[[#This Row],[Limit]]*0.3</f>
        <v>2160</v>
      </c>
      <c r="G13" s="196">
        <f>IF(CCPaymentBreakdown[[#This Row],[Utilization]]&lt;=30%,0,CCPaymentBreakdown[[#This Row],[Amount balance]]-CCPaymentBreakdown[[#This Row],[30% Utilization Target]])</f>
        <v>3340</v>
      </c>
      <c r="H13" s="197">
        <v>0.32990000000000003</v>
      </c>
      <c r="I13" s="187">
        <v>80</v>
      </c>
      <c r="J13" s="200">
        <f t="shared" si="4"/>
        <v>231.20416666666668</v>
      </c>
      <c r="K13" s="195">
        <f t="shared" si="3"/>
        <v>1.4545454545454545E-2</v>
      </c>
      <c r="L13" s="202">
        <f t="shared" si="2"/>
        <v>0.31428282828282833</v>
      </c>
      <c r="M13" s="190" t="b">
        <v>1</v>
      </c>
      <c r="N13" s="148"/>
    </row>
    <row r="14" spans="1:17" ht="18" customHeight="1" thickBot="1" x14ac:dyDescent="0.35">
      <c r="A14" s="122" t="s">
        <v>14</v>
      </c>
      <c r="B14" s="193">
        <f>CCPaymentBreakdown[[#This Row],[Amount balance]]/CCPaymentBreakdown[[#This Row],[Limit]]</f>
        <v>0.6</v>
      </c>
      <c r="C14" s="185">
        <v>2500</v>
      </c>
      <c r="D14" s="222">
        <f t="shared" si="0"/>
        <v>1000</v>
      </c>
      <c r="E14" s="223">
        <v>1500</v>
      </c>
      <c r="F14" s="118">
        <f>CCPaymentBreakdown[[#This Row],[Limit]]*0.3</f>
        <v>750</v>
      </c>
      <c r="G14" s="198">
        <f>IF(CCPaymentBreakdown[[#This Row],[Utilization]]&lt;=30%,0,CCPaymentBreakdown[[#This Row],[Amount balance]]-CCPaymentBreakdown[[#This Row],[30% Utilization Target]])</f>
        <v>750</v>
      </c>
      <c r="H14" s="199">
        <v>0.30740000000000001</v>
      </c>
      <c r="I14" s="188">
        <v>60</v>
      </c>
      <c r="J14" s="200">
        <f t="shared" si="4"/>
        <v>98.425000000000011</v>
      </c>
      <c r="K14" s="195">
        <f t="shared" si="3"/>
        <v>0.04</v>
      </c>
      <c r="L14" s="203">
        <f t="shared" si="2"/>
        <v>0.26400000000000001</v>
      </c>
      <c r="M14" s="191" t="b">
        <v>0</v>
      </c>
      <c r="N14" s="148"/>
    </row>
    <row r="15" spans="1:17" ht="19.8" customHeight="1" thickBot="1" x14ac:dyDescent="0.35">
      <c r="A15" s="112"/>
      <c r="B15" s="113"/>
      <c r="C15" s="149">
        <f>SUM(C3:C14)</f>
        <v>33500</v>
      </c>
      <c r="D15" s="150">
        <f>SUM(D3:D14)</f>
        <v>14420</v>
      </c>
      <c r="E15" s="151">
        <f>SUM(E3:E14)</f>
        <v>19080</v>
      </c>
      <c r="F15" s="152">
        <f>CCPaymentBreakdown[[#This Row],[Limit]]*0.3</f>
        <v>10050</v>
      </c>
      <c r="G15" s="152">
        <f>SUM(G3:G14)</f>
        <v>10745</v>
      </c>
      <c r="H15" s="153"/>
      <c r="I15" s="149">
        <f>SUM(I3:I14)</f>
        <v>745</v>
      </c>
      <c r="J15" s="149">
        <f>SUM(J3:J14)</f>
        <v>1086.3695833333334</v>
      </c>
      <c r="K15" s="114"/>
      <c r="L15" s="115"/>
      <c r="M15" s="115"/>
      <c r="N15" s="125"/>
      <c r="O15" s="10"/>
      <c r="P15" s="10"/>
      <c r="Q15" s="3"/>
    </row>
    <row r="16" spans="1:17" ht="15" thickBot="1" x14ac:dyDescent="0.35">
      <c r="A16" s="124"/>
      <c r="B16" s="125"/>
      <c r="C16" s="126"/>
      <c r="D16" s="127"/>
      <c r="E16" s="128"/>
      <c r="F16" s="129"/>
      <c r="G16" s="123">
        <f>SUM(G3:G14)</f>
        <v>10745</v>
      </c>
      <c r="H16" s="125"/>
      <c r="I16" s="126"/>
      <c r="J16" s="126"/>
      <c r="K16" s="125"/>
      <c r="L16" s="125"/>
      <c r="M16" s="125"/>
      <c r="N16" s="124"/>
      <c r="O16" s="4"/>
      <c r="P16" s="3"/>
    </row>
    <row r="17" spans="1:15" ht="33" thickBot="1" x14ac:dyDescent="0.6">
      <c r="A17" s="98" t="s">
        <v>41</v>
      </c>
      <c r="B17" s="99"/>
      <c r="C17" s="99"/>
      <c r="D17" s="99"/>
      <c r="E17" s="100"/>
      <c r="F17" s="100"/>
      <c r="G17" s="100"/>
      <c r="H17" s="100"/>
      <c r="I17" s="100"/>
      <c r="J17" s="100"/>
      <c r="K17" s="100"/>
      <c r="L17" s="100"/>
      <c r="M17" s="4"/>
      <c r="N17" s="4"/>
      <c r="O17" s="3"/>
    </row>
    <row r="18" spans="1:15" ht="28.8" thickBot="1" x14ac:dyDescent="0.35">
      <c r="A18" s="101" t="s">
        <v>31</v>
      </c>
      <c r="B18" s="102" t="s">
        <v>37</v>
      </c>
      <c r="C18" s="102" t="s">
        <v>38</v>
      </c>
      <c r="D18" s="103" t="s">
        <v>39</v>
      </c>
      <c r="E18" s="104" t="s">
        <v>40</v>
      </c>
      <c r="F18" s="28">
        <v>0.8</v>
      </c>
      <c r="G18" s="28">
        <v>0.6</v>
      </c>
      <c r="H18" s="29">
        <v>0.49</v>
      </c>
      <c r="I18" s="29">
        <v>0.35</v>
      </c>
      <c r="J18" s="30">
        <v>0.28999999999999998</v>
      </c>
      <c r="K18" s="30">
        <v>0.15</v>
      </c>
      <c r="L18" s="31">
        <v>0.09</v>
      </c>
      <c r="M18" s="4"/>
      <c r="N18" s="4"/>
      <c r="O18" s="3"/>
    </row>
    <row r="19" spans="1:15" ht="15.6" thickTop="1" thickBot="1" x14ac:dyDescent="0.35">
      <c r="A19" s="5" t="s">
        <v>16</v>
      </c>
      <c r="B19" s="204">
        <f>E12</f>
        <v>350</v>
      </c>
      <c r="C19" s="6">
        <f>C12</f>
        <v>1500</v>
      </c>
      <c r="D19" s="24">
        <v>0.33739999999999998</v>
      </c>
      <c r="E19" s="206">
        <f>B19/C19</f>
        <v>0.23333333333333334</v>
      </c>
      <c r="F19" s="32">
        <f t="shared" ref="F19:F20" si="5">C19*0.8</f>
        <v>1200</v>
      </c>
      <c r="G19" s="32">
        <f t="shared" ref="G19:G20" si="6">C19*0.6</f>
        <v>900</v>
      </c>
      <c r="H19" s="33">
        <f t="shared" ref="H19:H20" si="7">C19*0.49</f>
        <v>735</v>
      </c>
      <c r="I19" s="33">
        <f t="shared" ref="I19:I30" si="8">C19*0.35</f>
        <v>525</v>
      </c>
      <c r="J19" s="34">
        <f t="shared" ref="J19:J30" si="9">C19*0.29</f>
        <v>434.99999999999994</v>
      </c>
      <c r="K19" s="34">
        <f t="shared" ref="K19:K30" si="10">C19*0.15</f>
        <v>225</v>
      </c>
      <c r="L19" s="44">
        <f t="shared" ref="L19:L30" si="11">C19*0.09</f>
        <v>135</v>
      </c>
      <c r="M19" s="4"/>
      <c r="N19" s="4"/>
      <c r="O19" s="3"/>
    </row>
    <row r="20" spans="1:15" ht="15.6" thickTop="1" thickBot="1" x14ac:dyDescent="0.35">
      <c r="A20" s="5" t="s">
        <v>34</v>
      </c>
      <c r="B20" s="204">
        <f>E13</f>
        <v>5500</v>
      </c>
      <c r="C20" s="6">
        <f>C13</f>
        <v>7200</v>
      </c>
      <c r="D20" s="24">
        <v>0.32990000000000003</v>
      </c>
      <c r="E20" s="207">
        <f t="shared" ref="E20" si="12">B20/C20</f>
        <v>0.76388888888888884</v>
      </c>
      <c r="F20" s="35">
        <f t="shared" si="5"/>
        <v>5760</v>
      </c>
      <c r="G20" s="35">
        <f t="shared" si="6"/>
        <v>4320</v>
      </c>
      <c r="H20" s="36">
        <f t="shared" si="7"/>
        <v>3528</v>
      </c>
      <c r="I20" s="36">
        <f t="shared" si="8"/>
        <v>2520</v>
      </c>
      <c r="J20" s="37">
        <f t="shared" si="9"/>
        <v>2088</v>
      </c>
      <c r="K20" s="37">
        <f t="shared" si="10"/>
        <v>1080</v>
      </c>
      <c r="L20" s="45">
        <f t="shared" si="11"/>
        <v>648</v>
      </c>
      <c r="M20" s="4"/>
      <c r="N20" s="4"/>
      <c r="O20" s="3"/>
    </row>
    <row r="21" spans="1:15" s="2" customFormat="1" ht="15.6" thickTop="1" thickBot="1" x14ac:dyDescent="0.35">
      <c r="A21" s="5" t="s">
        <v>14</v>
      </c>
      <c r="B21" s="204">
        <f>E14</f>
        <v>1500</v>
      </c>
      <c r="C21" s="6">
        <f>C14</f>
        <v>2500</v>
      </c>
      <c r="D21" s="24">
        <v>0.30740000000000001</v>
      </c>
      <c r="E21" s="208">
        <f t="shared" ref="E21:E24" si="13">B21/C21</f>
        <v>0.6</v>
      </c>
      <c r="F21" s="35">
        <f t="shared" ref="F21:F24" si="14">C21*0.8</f>
        <v>2000</v>
      </c>
      <c r="G21" s="35">
        <f t="shared" ref="G21:G24" si="15">C21*0.6</f>
        <v>1500</v>
      </c>
      <c r="H21" s="36">
        <f t="shared" ref="H21:H24" si="16">C21*0.49</f>
        <v>1225</v>
      </c>
      <c r="I21" s="36">
        <f t="shared" si="8"/>
        <v>875</v>
      </c>
      <c r="J21" s="37">
        <f t="shared" si="9"/>
        <v>725</v>
      </c>
      <c r="K21" s="37">
        <f t="shared" si="10"/>
        <v>375</v>
      </c>
      <c r="L21" s="45">
        <f t="shared" si="11"/>
        <v>225</v>
      </c>
      <c r="M21" s="4"/>
      <c r="N21" s="4"/>
      <c r="O21" s="3"/>
    </row>
    <row r="22" spans="1:15" s="2" customFormat="1" ht="15.6" thickTop="1" thickBot="1" x14ac:dyDescent="0.35">
      <c r="A22" s="5" t="s">
        <v>61</v>
      </c>
      <c r="B22" s="204">
        <f>E4</f>
        <v>300</v>
      </c>
      <c r="C22" s="6">
        <f>C4</f>
        <v>600</v>
      </c>
      <c r="D22" s="24">
        <v>0.3</v>
      </c>
      <c r="E22" s="208">
        <f t="shared" si="13"/>
        <v>0.5</v>
      </c>
      <c r="F22" s="35">
        <f t="shared" si="14"/>
        <v>480</v>
      </c>
      <c r="G22" s="35">
        <f t="shared" si="15"/>
        <v>360</v>
      </c>
      <c r="H22" s="36">
        <f t="shared" si="16"/>
        <v>294</v>
      </c>
      <c r="I22" s="36">
        <f t="shared" si="8"/>
        <v>210</v>
      </c>
      <c r="J22" s="37">
        <f t="shared" si="9"/>
        <v>174</v>
      </c>
      <c r="K22" s="37">
        <f t="shared" si="10"/>
        <v>90</v>
      </c>
      <c r="L22" s="45">
        <f t="shared" si="11"/>
        <v>54</v>
      </c>
      <c r="M22" s="11"/>
      <c r="N22" s="4"/>
      <c r="O22" s="3"/>
    </row>
    <row r="23" spans="1:15" ht="15.6" thickTop="1" thickBot="1" x14ac:dyDescent="0.35">
      <c r="A23" s="5" t="s">
        <v>17</v>
      </c>
      <c r="B23" s="204">
        <f>E7</f>
        <v>280</v>
      </c>
      <c r="C23" s="6">
        <f>C7</f>
        <v>2800</v>
      </c>
      <c r="D23" s="24">
        <v>0.29949999999999999</v>
      </c>
      <c r="E23" s="208">
        <f t="shared" si="13"/>
        <v>0.1</v>
      </c>
      <c r="F23" s="35">
        <f t="shared" si="14"/>
        <v>2240</v>
      </c>
      <c r="G23" s="35">
        <f t="shared" si="15"/>
        <v>1680</v>
      </c>
      <c r="H23" s="36">
        <f t="shared" si="16"/>
        <v>1372</v>
      </c>
      <c r="I23" s="36">
        <f t="shared" si="8"/>
        <v>979.99999999999989</v>
      </c>
      <c r="J23" s="37">
        <f t="shared" si="9"/>
        <v>812</v>
      </c>
      <c r="K23" s="37">
        <f t="shared" si="10"/>
        <v>420</v>
      </c>
      <c r="L23" s="45">
        <f t="shared" si="11"/>
        <v>252</v>
      </c>
      <c r="M23" s="11"/>
      <c r="N23" s="4"/>
      <c r="O23" s="3"/>
    </row>
    <row r="24" spans="1:15" ht="15.6" thickTop="1" thickBot="1" x14ac:dyDescent="0.35">
      <c r="A24" s="5" t="s">
        <v>62</v>
      </c>
      <c r="B24" s="204">
        <f>E3</f>
        <v>300</v>
      </c>
      <c r="C24" s="6">
        <f>C3</f>
        <v>650</v>
      </c>
      <c r="D24" s="24">
        <v>0.28739999999999999</v>
      </c>
      <c r="E24" s="207">
        <f t="shared" si="13"/>
        <v>0.46153846153846156</v>
      </c>
      <c r="F24" s="35">
        <f t="shared" si="14"/>
        <v>520</v>
      </c>
      <c r="G24" s="35">
        <f t="shared" si="15"/>
        <v>390</v>
      </c>
      <c r="H24" s="36">
        <f t="shared" si="16"/>
        <v>318.5</v>
      </c>
      <c r="I24" s="36">
        <f t="shared" si="8"/>
        <v>227.49999999999997</v>
      </c>
      <c r="J24" s="37">
        <f t="shared" si="9"/>
        <v>188.5</v>
      </c>
      <c r="K24" s="37">
        <f t="shared" si="10"/>
        <v>97.5</v>
      </c>
      <c r="L24" s="45">
        <f t="shared" si="11"/>
        <v>58.5</v>
      </c>
      <c r="M24" s="4"/>
      <c r="N24" s="4"/>
      <c r="O24" s="3"/>
    </row>
    <row r="25" spans="1:15" ht="15.6" thickTop="1" thickBot="1" x14ac:dyDescent="0.35">
      <c r="A25" s="12" t="s">
        <v>13</v>
      </c>
      <c r="B25" s="204">
        <f>E6</f>
        <v>1900</v>
      </c>
      <c r="C25" s="13">
        <f>C6</f>
        <v>1900</v>
      </c>
      <c r="D25" s="25">
        <v>0.2949</v>
      </c>
      <c r="E25" s="208">
        <f t="shared" ref="E25:E31" si="17">B25/C25</f>
        <v>1</v>
      </c>
      <c r="F25" s="35">
        <f t="shared" ref="F25:F30" si="18">C25*0.8</f>
        <v>1520</v>
      </c>
      <c r="G25" s="35">
        <f t="shared" ref="G25:G30" si="19">C25*0.6</f>
        <v>1140</v>
      </c>
      <c r="H25" s="36">
        <f t="shared" ref="H25:H30" si="20">C25*0.49</f>
        <v>931</v>
      </c>
      <c r="I25" s="36">
        <f t="shared" si="8"/>
        <v>665</v>
      </c>
      <c r="J25" s="37">
        <f t="shared" si="9"/>
        <v>551</v>
      </c>
      <c r="K25" s="37">
        <f t="shared" si="10"/>
        <v>285</v>
      </c>
      <c r="L25" s="45">
        <f t="shared" si="11"/>
        <v>171</v>
      </c>
      <c r="M25" s="4"/>
      <c r="N25" s="4"/>
      <c r="O25" s="3"/>
    </row>
    <row r="26" spans="1:15" ht="15.6" thickTop="1" thickBot="1" x14ac:dyDescent="0.35">
      <c r="A26" s="5" t="s">
        <v>63</v>
      </c>
      <c r="B26" s="204">
        <f>E11</f>
        <v>0</v>
      </c>
      <c r="C26" s="6">
        <f>C11</f>
        <v>1050</v>
      </c>
      <c r="D26" s="24">
        <v>0.28489999999999999</v>
      </c>
      <c r="E26" s="208">
        <f t="shared" si="17"/>
        <v>0</v>
      </c>
      <c r="F26" s="38">
        <f t="shared" si="18"/>
        <v>840</v>
      </c>
      <c r="G26" s="38">
        <f t="shared" si="19"/>
        <v>630</v>
      </c>
      <c r="H26" s="39">
        <f t="shared" si="20"/>
        <v>514.5</v>
      </c>
      <c r="I26" s="39">
        <f t="shared" si="8"/>
        <v>367.5</v>
      </c>
      <c r="J26" s="40">
        <f t="shared" si="9"/>
        <v>304.5</v>
      </c>
      <c r="K26" s="40">
        <f t="shared" si="10"/>
        <v>157.5</v>
      </c>
      <c r="L26" s="46">
        <f t="shared" si="11"/>
        <v>94.5</v>
      </c>
      <c r="M26" s="4"/>
      <c r="N26" s="4"/>
      <c r="O26" s="3"/>
    </row>
    <row r="27" spans="1:15" ht="15.6" thickTop="1" thickBot="1" x14ac:dyDescent="0.35">
      <c r="A27" s="145" t="s">
        <v>15</v>
      </c>
      <c r="B27" s="204">
        <f>E10</f>
        <v>2300</v>
      </c>
      <c r="C27" s="130">
        <f>C10</f>
        <v>3500</v>
      </c>
      <c r="D27" s="26">
        <f>H10</f>
        <v>0.28239999999999998</v>
      </c>
      <c r="E27" s="207">
        <f t="shared" si="17"/>
        <v>0.65714285714285714</v>
      </c>
      <c r="F27" s="41">
        <f t="shared" si="18"/>
        <v>2800</v>
      </c>
      <c r="G27" s="41">
        <f t="shared" si="19"/>
        <v>2100</v>
      </c>
      <c r="H27" s="42">
        <f t="shared" si="20"/>
        <v>1715</v>
      </c>
      <c r="I27" s="42">
        <f t="shared" si="8"/>
        <v>1225</v>
      </c>
      <c r="J27" s="43">
        <f t="shared" si="9"/>
        <v>1014.9999999999999</v>
      </c>
      <c r="K27" s="43">
        <f t="shared" si="10"/>
        <v>525</v>
      </c>
      <c r="L27" s="47">
        <f t="shared" si="11"/>
        <v>315</v>
      </c>
      <c r="M27" s="4"/>
      <c r="N27" s="4"/>
    </row>
    <row r="28" spans="1:15" ht="15.6" thickTop="1" thickBot="1" x14ac:dyDescent="0.35">
      <c r="A28" s="5" t="s">
        <v>64</v>
      </c>
      <c r="B28" s="204">
        <f>E8</f>
        <v>750</v>
      </c>
      <c r="C28" s="130">
        <f>C8</f>
        <v>2100</v>
      </c>
      <c r="D28" s="26">
        <v>0.27489999999999998</v>
      </c>
      <c r="E28" s="208">
        <f t="shared" si="17"/>
        <v>0.35714285714285715</v>
      </c>
      <c r="F28" s="41">
        <f t="shared" si="18"/>
        <v>1680</v>
      </c>
      <c r="G28" s="41">
        <f t="shared" si="19"/>
        <v>1260</v>
      </c>
      <c r="H28" s="42">
        <f t="shared" si="20"/>
        <v>1029</v>
      </c>
      <c r="I28" s="42">
        <f t="shared" si="8"/>
        <v>735</v>
      </c>
      <c r="J28" s="43">
        <f t="shared" si="9"/>
        <v>609</v>
      </c>
      <c r="K28" s="43">
        <f t="shared" si="10"/>
        <v>315</v>
      </c>
      <c r="L28" s="47">
        <f t="shared" si="11"/>
        <v>189</v>
      </c>
      <c r="M28" s="4"/>
      <c r="N28" s="4"/>
    </row>
    <row r="29" spans="1:15" ht="15.6" thickTop="1" thickBot="1" x14ac:dyDescent="0.35">
      <c r="A29" s="5" t="s">
        <v>30</v>
      </c>
      <c r="B29" s="204">
        <f>E9</f>
        <v>100</v>
      </c>
      <c r="C29" s="6">
        <f>C9</f>
        <v>2800</v>
      </c>
      <c r="D29" s="24">
        <v>0.27489999999999998</v>
      </c>
      <c r="E29" s="207">
        <f t="shared" si="17"/>
        <v>3.5714285714285712E-2</v>
      </c>
      <c r="F29" s="35">
        <f t="shared" si="18"/>
        <v>2240</v>
      </c>
      <c r="G29" s="35">
        <f t="shared" si="19"/>
        <v>1680</v>
      </c>
      <c r="H29" s="36">
        <f t="shared" si="20"/>
        <v>1372</v>
      </c>
      <c r="I29" s="36">
        <f t="shared" si="8"/>
        <v>979.99999999999989</v>
      </c>
      <c r="J29" s="37">
        <f t="shared" si="9"/>
        <v>812</v>
      </c>
      <c r="K29" s="37">
        <f t="shared" si="10"/>
        <v>420</v>
      </c>
      <c r="L29" s="45">
        <f t="shared" si="11"/>
        <v>252</v>
      </c>
      <c r="M29" s="4"/>
      <c r="N29" s="4"/>
    </row>
    <row r="30" spans="1:15" ht="15.6" thickTop="1" thickBot="1" x14ac:dyDescent="0.35">
      <c r="A30" s="7" t="s">
        <v>46</v>
      </c>
      <c r="B30" s="205">
        <f>E5</f>
        <v>5800</v>
      </c>
      <c r="C30" s="8">
        <f>C5</f>
        <v>6900</v>
      </c>
      <c r="D30" s="27">
        <v>0</v>
      </c>
      <c r="E30" s="209">
        <f t="shared" si="17"/>
        <v>0.84057971014492749</v>
      </c>
      <c r="F30" s="48">
        <f t="shared" si="18"/>
        <v>5520</v>
      </c>
      <c r="G30" s="48">
        <f t="shared" si="19"/>
        <v>4140</v>
      </c>
      <c r="H30" s="49">
        <f t="shared" si="20"/>
        <v>3381</v>
      </c>
      <c r="I30" s="49">
        <f t="shared" si="8"/>
        <v>2415</v>
      </c>
      <c r="J30" s="50">
        <f t="shared" si="9"/>
        <v>2000.9999999999998</v>
      </c>
      <c r="K30" s="50">
        <f t="shared" si="10"/>
        <v>1035</v>
      </c>
      <c r="L30" s="51">
        <f t="shared" si="11"/>
        <v>621</v>
      </c>
      <c r="M30" s="4"/>
      <c r="N30" s="4"/>
    </row>
    <row r="31" spans="1:15" ht="15" thickBot="1" x14ac:dyDescent="0.35">
      <c r="A31" s="9"/>
      <c r="B31" s="210">
        <f>SUM(B19:B30)</f>
        <v>19080</v>
      </c>
      <c r="C31" s="211">
        <f>SUM(C19:C30)</f>
        <v>33500</v>
      </c>
      <c r="D31" s="212"/>
      <c r="E31" s="213">
        <f t="shared" si="17"/>
        <v>0.56955223880597017</v>
      </c>
      <c r="F31" s="210">
        <f t="shared" ref="F31:L31" si="21">SUM(F19:F30)</f>
        <v>26800</v>
      </c>
      <c r="G31" s="210">
        <f t="shared" si="21"/>
        <v>20100</v>
      </c>
      <c r="H31" s="210">
        <f t="shared" si="21"/>
        <v>16415</v>
      </c>
      <c r="I31" s="210">
        <f t="shared" si="21"/>
        <v>11725</v>
      </c>
      <c r="J31" s="210">
        <f t="shared" si="21"/>
        <v>9715</v>
      </c>
      <c r="K31" s="210">
        <f t="shared" si="21"/>
        <v>5025</v>
      </c>
      <c r="L31" s="214">
        <f t="shared" si="21"/>
        <v>3015</v>
      </c>
      <c r="M31" s="4"/>
      <c r="N31" s="4"/>
    </row>
    <row r="32" spans="1:15" x14ac:dyDescent="0.3">
      <c r="A32" s="14"/>
      <c r="B32" s="1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</row>
    <row r="33" spans="1:15" ht="15" thickBot="1" x14ac:dyDescent="0.3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</row>
    <row r="34" spans="1:15" ht="15" thickBot="1" x14ac:dyDescent="0.35">
      <c r="A34" s="15" t="s">
        <v>31</v>
      </c>
      <c r="B34" s="16" t="s">
        <v>38</v>
      </c>
      <c r="C34" s="52" t="s">
        <v>35</v>
      </c>
      <c r="D34" s="65">
        <v>0.9</v>
      </c>
      <c r="E34" s="28">
        <v>0.8</v>
      </c>
      <c r="F34" s="28">
        <v>0.7</v>
      </c>
      <c r="G34" s="28">
        <v>0.6</v>
      </c>
      <c r="H34" s="29">
        <v>0.49</v>
      </c>
      <c r="I34" s="29">
        <v>0.35</v>
      </c>
      <c r="J34" s="30">
        <v>0.28999999999999998</v>
      </c>
      <c r="K34" s="30">
        <v>0.15</v>
      </c>
      <c r="L34" s="31">
        <v>0.09</v>
      </c>
      <c r="M34" s="4"/>
      <c r="N34" s="4"/>
    </row>
    <row r="35" spans="1:15" x14ac:dyDescent="0.3">
      <c r="A35" s="5" t="s">
        <v>16</v>
      </c>
      <c r="B35" s="131">
        <f>C19</f>
        <v>1500</v>
      </c>
      <c r="C35" s="17">
        <v>0.33739999999999998</v>
      </c>
      <c r="D35" s="66">
        <f>B35*0.9</f>
        <v>1350</v>
      </c>
      <c r="E35" s="67">
        <f>B35*0.8</f>
        <v>1200</v>
      </c>
      <c r="F35" s="67">
        <f>B35*0.7</f>
        <v>1050</v>
      </c>
      <c r="G35" s="67">
        <f>B35*0.6</f>
        <v>900</v>
      </c>
      <c r="H35" s="67">
        <f>B35*0.49</f>
        <v>735</v>
      </c>
      <c r="I35" s="67">
        <f>B35*0.35</f>
        <v>525</v>
      </c>
      <c r="J35" s="67">
        <f>B35*0.29</f>
        <v>434.99999999999994</v>
      </c>
      <c r="K35" s="67">
        <f>B35*0.15</f>
        <v>225</v>
      </c>
      <c r="L35" s="68">
        <f>B35*0.09</f>
        <v>135</v>
      </c>
      <c r="M35" s="4"/>
      <c r="N35" s="4"/>
    </row>
    <row r="36" spans="1:15" x14ac:dyDescent="0.3">
      <c r="A36" s="5" t="s">
        <v>34</v>
      </c>
      <c r="B36" s="131">
        <f t="shared" ref="B36:B46" si="22">C20</f>
        <v>7200</v>
      </c>
      <c r="C36" s="24">
        <v>0.32990000000000003</v>
      </c>
      <c r="D36" s="54">
        <f t="shared" ref="D36" si="23">B36*0.9</f>
        <v>6480</v>
      </c>
      <c r="E36" s="18">
        <f t="shared" ref="E36" si="24">B36*0.8</f>
        <v>5760</v>
      </c>
      <c r="F36" s="18">
        <f t="shared" ref="F36" si="25">B36*0.7</f>
        <v>5040</v>
      </c>
      <c r="G36" s="18">
        <f t="shared" ref="G36" si="26">B36*0.6</f>
        <v>4320</v>
      </c>
      <c r="H36" s="18">
        <f t="shared" ref="H36" si="27">B36*0.49</f>
        <v>3528</v>
      </c>
      <c r="I36" s="18">
        <f t="shared" ref="I36" si="28">B36*0.35</f>
        <v>2520</v>
      </c>
      <c r="J36" s="18">
        <f t="shared" ref="J36" si="29">B36*0.29</f>
        <v>2088</v>
      </c>
      <c r="K36" s="18">
        <f t="shared" ref="K36" si="30">B36*0.15</f>
        <v>1080</v>
      </c>
      <c r="L36" s="55">
        <f t="shared" ref="L36" si="31">B36*0.09</f>
        <v>648</v>
      </c>
      <c r="M36" s="4"/>
      <c r="N36" s="4"/>
    </row>
    <row r="37" spans="1:15" x14ac:dyDescent="0.3">
      <c r="A37" s="5" t="s">
        <v>14</v>
      </c>
      <c r="B37" s="131">
        <f t="shared" si="22"/>
        <v>2500</v>
      </c>
      <c r="C37" s="19">
        <v>0.30740000000000001</v>
      </c>
      <c r="D37" s="56">
        <f t="shared" ref="D37:D40" si="32">B37*0.9</f>
        <v>2250</v>
      </c>
      <c r="E37" s="20">
        <f t="shared" ref="E37:E40" si="33">B37*0.8</f>
        <v>2000</v>
      </c>
      <c r="F37" s="20">
        <f t="shared" ref="F37:F40" si="34">B37*0.7</f>
        <v>1750</v>
      </c>
      <c r="G37" s="20">
        <f t="shared" ref="G37:G40" si="35">B37*0.6</f>
        <v>1500</v>
      </c>
      <c r="H37" s="20">
        <f t="shared" ref="H37:H40" si="36">B37*0.49</f>
        <v>1225</v>
      </c>
      <c r="I37" s="20">
        <f t="shared" ref="I37:I40" si="37">B37*0.35</f>
        <v>875</v>
      </c>
      <c r="J37" s="20">
        <f t="shared" ref="J37:J40" si="38">B37*0.29</f>
        <v>725</v>
      </c>
      <c r="K37" s="20">
        <f t="shared" ref="K37:K40" si="39">B37*0.15</f>
        <v>375</v>
      </c>
      <c r="L37" s="57">
        <f t="shared" ref="L37:L40" si="40">B37*0.09</f>
        <v>225</v>
      </c>
      <c r="M37" s="4"/>
      <c r="N37" s="4"/>
    </row>
    <row r="38" spans="1:15" x14ac:dyDescent="0.3">
      <c r="A38" s="5" t="s">
        <v>61</v>
      </c>
      <c r="B38" s="131">
        <f t="shared" si="22"/>
        <v>600</v>
      </c>
      <c r="C38" s="19">
        <v>0.3</v>
      </c>
      <c r="D38" s="56">
        <f t="shared" si="32"/>
        <v>540</v>
      </c>
      <c r="E38" s="20">
        <f t="shared" si="33"/>
        <v>480</v>
      </c>
      <c r="F38" s="20">
        <f t="shared" si="34"/>
        <v>420</v>
      </c>
      <c r="G38" s="20">
        <f t="shared" si="35"/>
        <v>360</v>
      </c>
      <c r="H38" s="20">
        <f t="shared" si="36"/>
        <v>294</v>
      </c>
      <c r="I38" s="20">
        <f t="shared" si="37"/>
        <v>210</v>
      </c>
      <c r="J38" s="20">
        <f t="shared" si="38"/>
        <v>174</v>
      </c>
      <c r="K38" s="20">
        <f t="shared" si="39"/>
        <v>90</v>
      </c>
      <c r="L38" s="57">
        <f t="shared" si="40"/>
        <v>54</v>
      </c>
      <c r="M38" s="4"/>
      <c r="N38" s="4"/>
    </row>
    <row r="39" spans="1:15" x14ac:dyDescent="0.3">
      <c r="A39" s="5" t="s">
        <v>17</v>
      </c>
      <c r="B39" s="131">
        <f t="shared" si="22"/>
        <v>2800</v>
      </c>
      <c r="C39" s="19">
        <v>0.29949999999999999</v>
      </c>
      <c r="D39" s="56">
        <f t="shared" si="32"/>
        <v>2520</v>
      </c>
      <c r="E39" s="20">
        <f t="shared" si="33"/>
        <v>2240</v>
      </c>
      <c r="F39" s="20">
        <f t="shared" si="34"/>
        <v>1959.9999999999998</v>
      </c>
      <c r="G39" s="20">
        <f t="shared" si="35"/>
        <v>1680</v>
      </c>
      <c r="H39" s="20">
        <f t="shared" si="36"/>
        <v>1372</v>
      </c>
      <c r="I39" s="20">
        <f t="shared" si="37"/>
        <v>979.99999999999989</v>
      </c>
      <c r="J39" s="20">
        <f t="shared" si="38"/>
        <v>812</v>
      </c>
      <c r="K39" s="20">
        <f t="shared" si="39"/>
        <v>420</v>
      </c>
      <c r="L39" s="57">
        <f t="shared" si="40"/>
        <v>252</v>
      </c>
      <c r="M39" s="4"/>
      <c r="N39" s="4"/>
    </row>
    <row r="40" spans="1:15" x14ac:dyDescent="0.3">
      <c r="A40" s="5" t="s">
        <v>62</v>
      </c>
      <c r="B40" s="131">
        <f t="shared" si="22"/>
        <v>650</v>
      </c>
      <c r="C40" s="19">
        <v>0.28739999999999999</v>
      </c>
      <c r="D40" s="58">
        <f t="shared" si="32"/>
        <v>585</v>
      </c>
      <c r="E40" s="21">
        <f t="shared" si="33"/>
        <v>520</v>
      </c>
      <c r="F40" s="21">
        <f t="shared" si="34"/>
        <v>454.99999999999994</v>
      </c>
      <c r="G40" s="21">
        <f t="shared" si="35"/>
        <v>390</v>
      </c>
      <c r="H40" s="21">
        <f t="shared" si="36"/>
        <v>318.5</v>
      </c>
      <c r="I40" s="21">
        <f t="shared" si="37"/>
        <v>227.49999999999997</v>
      </c>
      <c r="J40" s="21">
        <f t="shared" si="38"/>
        <v>188.5</v>
      </c>
      <c r="K40" s="21">
        <f t="shared" si="39"/>
        <v>97.5</v>
      </c>
      <c r="L40" s="59">
        <f t="shared" si="40"/>
        <v>58.5</v>
      </c>
      <c r="M40" s="4"/>
      <c r="N40" s="4"/>
    </row>
    <row r="41" spans="1:15" x14ac:dyDescent="0.3">
      <c r="A41" s="12" t="s">
        <v>13</v>
      </c>
      <c r="B41" s="131">
        <f t="shared" si="22"/>
        <v>1900</v>
      </c>
      <c r="C41" s="19">
        <v>0.2949</v>
      </c>
      <c r="D41" s="56">
        <f t="shared" ref="D41:D46" si="41">B41*0.9</f>
        <v>1710</v>
      </c>
      <c r="E41" s="20">
        <f t="shared" ref="E41:E46" si="42">B41*0.8</f>
        <v>1520</v>
      </c>
      <c r="F41" s="20">
        <f t="shared" ref="F41:F46" si="43">B41*0.7</f>
        <v>1330</v>
      </c>
      <c r="G41" s="20">
        <f t="shared" ref="G41:G46" si="44">B41*0.6</f>
        <v>1140</v>
      </c>
      <c r="H41" s="20">
        <f t="shared" ref="H41:H46" si="45">B41*0.49</f>
        <v>931</v>
      </c>
      <c r="I41" s="20">
        <f t="shared" ref="I41:I46" si="46">B41*0.35</f>
        <v>665</v>
      </c>
      <c r="J41" s="20">
        <f t="shared" ref="J41:J46" si="47">B41*0.29</f>
        <v>551</v>
      </c>
      <c r="K41" s="20">
        <f t="shared" ref="K41:K46" si="48">B41*0.15</f>
        <v>285</v>
      </c>
      <c r="L41" s="57">
        <f t="shared" ref="L41:L46" si="49">B41*0.09</f>
        <v>171</v>
      </c>
      <c r="M41" s="4"/>
      <c r="N41" s="4"/>
    </row>
    <row r="42" spans="1:15" x14ac:dyDescent="0.3">
      <c r="A42" s="5" t="s">
        <v>63</v>
      </c>
      <c r="B42" s="131">
        <f t="shared" si="22"/>
        <v>1050</v>
      </c>
      <c r="C42" s="19">
        <v>0.28489999999999999</v>
      </c>
      <c r="D42" s="56">
        <f t="shared" si="41"/>
        <v>945</v>
      </c>
      <c r="E42" s="20">
        <f t="shared" si="42"/>
        <v>840</v>
      </c>
      <c r="F42" s="20">
        <f t="shared" si="43"/>
        <v>735</v>
      </c>
      <c r="G42" s="20">
        <f t="shared" si="44"/>
        <v>630</v>
      </c>
      <c r="H42" s="20">
        <f t="shared" si="45"/>
        <v>514.5</v>
      </c>
      <c r="I42" s="20">
        <f t="shared" si="46"/>
        <v>367.5</v>
      </c>
      <c r="J42" s="20">
        <f t="shared" si="47"/>
        <v>304.5</v>
      </c>
      <c r="K42" s="20">
        <f t="shared" si="48"/>
        <v>157.5</v>
      </c>
      <c r="L42" s="57">
        <f t="shared" si="49"/>
        <v>94.5</v>
      </c>
      <c r="M42" s="4"/>
      <c r="N42" s="4"/>
    </row>
    <row r="43" spans="1:15" x14ac:dyDescent="0.3">
      <c r="A43" s="145" t="s">
        <v>15</v>
      </c>
      <c r="B43" s="131">
        <f t="shared" si="22"/>
        <v>3500</v>
      </c>
      <c r="C43" s="19">
        <v>0.28239999999999998</v>
      </c>
      <c r="D43" s="56">
        <f t="shared" si="41"/>
        <v>3150</v>
      </c>
      <c r="E43" s="20">
        <f t="shared" si="42"/>
        <v>2800</v>
      </c>
      <c r="F43" s="20">
        <f t="shared" si="43"/>
        <v>2450</v>
      </c>
      <c r="G43" s="20">
        <f t="shared" si="44"/>
        <v>2100</v>
      </c>
      <c r="H43" s="20">
        <f t="shared" si="45"/>
        <v>1715</v>
      </c>
      <c r="I43" s="20">
        <f t="shared" si="46"/>
        <v>1225</v>
      </c>
      <c r="J43" s="20">
        <f t="shared" si="47"/>
        <v>1014.9999999999999</v>
      </c>
      <c r="K43" s="20">
        <f t="shared" si="48"/>
        <v>525</v>
      </c>
      <c r="L43" s="57">
        <f t="shared" si="49"/>
        <v>315</v>
      </c>
      <c r="M43" s="4"/>
      <c r="N43" s="4"/>
    </row>
    <row r="44" spans="1:15" x14ac:dyDescent="0.3">
      <c r="A44" s="5" t="s">
        <v>64</v>
      </c>
      <c r="B44" s="131">
        <f t="shared" si="22"/>
        <v>2100</v>
      </c>
      <c r="C44" s="22">
        <v>0.27489999999999998</v>
      </c>
      <c r="D44" s="54">
        <f t="shared" si="41"/>
        <v>1890</v>
      </c>
      <c r="E44" s="18">
        <f t="shared" si="42"/>
        <v>1680</v>
      </c>
      <c r="F44" s="18">
        <f t="shared" si="43"/>
        <v>1470</v>
      </c>
      <c r="G44" s="18">
        <f t="shared" si="44"/>
        <v>1260</v>
      </c>
      <c r="H44" s="18">
        <f t="shared" si="45"/>
        <v>1029</v>
      </c>
      <c r="I44" s="18">
        <f t="shared" si="46"/>
        <v>735</v>
      </c>
      <c r="J44" s="18">
        <f t="shared" si="47"/>
        <v>609</v>
      </c>
      <c r="K44" s="18">
        <f t="shared" si="48"/>
        <v>315</v>
      </c>
      <c r="L44" s="55">
        <f t="shared" si="49"/>
        <v>189</v>
      </c>
      <c r="M44" s="4"/>
      <c r="N44" s="4"/>
    </row>
    <row r="45" spans="1:15" x14ac:dyDescent="0.3">
      <c r="A45" s="5" t="s">
        <v>30</v>
      </c>
      <c r="B45" s="131">
        <f t="shared" si="22"/>
        <v>2800</v>
      </c>
      <c r="C45" s="53">
        <v>0.27489999999999998</v>
      </c>
      <c r="D45" s="60">
        <f t="shared" si="41"/>
        <v>2520</v>
      </c>
      <c r="E45" s="23">
        <f t="shared" si="42"/>
        <v>2240</v>
      </c>
      <c r="F45" s="23">
        <f t="shared" si="43"/>
        <v>1959.9999999999998</v>
      </c>
      <c r="G45" s="23">
        <f t="shared" si="44"/>
        <v>1680</v>
      </c>
      <c r="H45" s="23">
        <f t="shared" si="45"/>
        <v>1372</v>
      </c>
      <c r="I45" s="23">
        <f t="shared" si="46"/>
        <v>979.99999999999989</v>
      </c>
      <c r="J45" s="23">
        <f t="shared" si="47"/>
        <v>812</v>
      </c>
      <c r="K45" s="23">
        <f t="shared" si="48"/>
        <v>420</v>
      </c>
      <c r="L45" s="61">
        <f t="shared" si="49"/>
        <v>252</v>
      </c>
      <c r="M45" s="4"/>
      <c r="N45" s="4"/>
    </row>
    <row r="46" spans="1:15" ht="15" thickBot="1" x14ac:dyDescent="0.35">
      <c r="A46" s="7" t="s">
        <v>46</v>
      </c>
      <c r="B46" s="131">
        <f t="shared" si="22"/>
        <v>6900</v>
      </c>
      <c r="C46" s="53">
        <v>0.2374</v>
      </c>
      <c r="D46" s="62">
        <f t="shared" si="41"/>
        <v>6210</v>
      </c>
      <c r="E46" s="63">
        <f t="shared" si="42"/>
        <v>5520</v>
      </c>
      <c r="F46" s="63">
        <f t="shared" si="43"/>
        <v>4830</v>
      </c>
      <c r="G46" s="63">
        <f t="shared" si="44"/>
        <v>4140</v>
      </c>
      <c r="H46" s="63">
        <f t="shared" si="45"/>
        <v>3381</v>
      </c>
      <c r="I46" s="63">
        <f t="shared" si="46"/>
        <v>2415</v>
      </c>
      <c r="J46" s="63">
        <f t="shared" si="47"/>
        <v>2000.9999999999998</v>
      </c>
      <c r="K46" s="63">
        <f t="shared" si="48"/>
        <v>1035</v>
      </c>
      <c r="L46" s="64">
        <f t="shared" si="49"/>
        <v>621</v>
      </c>
    </row>
  </sheetData>
  <sheetProtection algorithmName="SHA-512" hashValue="2k6wGoZEU83dXMCpo6zLVaqbvxU1aoLEF9kZI7GicnYahCeXZI/79EP6zU56HY3LymJEQRVDhlOiDMFYA+YBSA==" saltValue="dnxPOMUJ542pnlnYXkyLOw==" spinCount="100000" sheet="1" objects="1" scenarios="1"/>
  <sortState xmlns:xlrd2="http://schemas.microsoft.com/office/spreadsheetml/2017/richdata2" ref="N3:Q14">
    <sortCondition descending="1" ref="Q3:Q14"/>
  </sortState>
  <conditionalFormatting sqref="B3:B14">
    <cfRule type="expression" dxfId="66" priority="2">
      <formula>$B3&gt;=60%</formula>
    </cfRule>
    <cfRule type="expression" dxfId="65" priority="3">
      <formula>AND($B3&gt;30%,$B3&lt;60%)</formula>
    </cfRule>
    <cfRule type="expression" dxfId="64" priority="4">
      <formula>AND($B3&gt;10%,$B3&lt;=30%)</formula>
    </cfRule>
    <cfRule type="expression" dxfId="63" priority="5">
      <formula>AND($B3&lt;&gt;"",$B3&lt;=10%)</formula>
    </cfRule>
    <cfRule type="dataBar" priority="6">
      <dataBar>
        <cfvo type="num" val="0"/>
        <cfvo type="num" val="1"/>
        <color rgb="FFFFA669"/>
      </dataBar>
      <extLst>
        <ext xmlns:x14="http://schemas.microsoft.com/office/spreadsheetml/2009/9/main" uri="{B025F937-C7B1-47D3-B67F-A62EFF666E3E}">
          <x14:id>{5DBFB35E-B311-487C-81A3-903A4EB939DD}</x14:id>
        </ext>
      </extLst>
    </cfRule>
  </conditionalFormatting>
  <conditionalFormatting sqref="E19:E31">
    <cfRule type="cellIs" dxfId="62" priority="31" operator="lessThan">
      <formula>0.1</formula>
    </cfRule>
    <cfRule type="cellIs" dxfId="61" priority="32" operator="between">
      <formula>0.29</formula>
      <formula>0.1</formula>
    </cfRule>
    <cfRule type="cellIs" dxfId="60" priority="33" operator="between">
      <formula>0.59</formula>
      <formula>0.3</formula>
    </cfRule>
    <cfRule type="cellIs" dxfId="59" priority="34" operator="greaterThan">
      <formula>0.6</formula>
    </cfRule>
  </conditionalFormatting>
  <conditionalFormatting sqref="E21:E23">
    <cfRule type="cellIs" dxfId="58" priority="21" operator="greaterThanOrEqual">
      <formula>0.5</formula>
    </cfRule>
    <cfRule type="cellIs" dxfId="57" priority="22" operator="between">
      <formula>0.3</formula>
      <formula>0.49</formula>
    </cfRule>
    <cfRule type="cellIs" dxfId="56" priority="23" operator="between">
      <formula>0.11</formula>
      <formula>0.29</formula>
    </cfRule>
    <cfRule type="cellIs" dxfId="55" priority="24" operator="lessThan">
      <formula>0.1</formula>
    </cfRule>
  </conditionalFormatting>
  <conditionalFormatting sqref="E21:E22">
    <cfRule type="cellIs" dxfId="54" priority="17" operator="lessThan">
      <formula>0.09</formula>
    </cfRule>
    <cfRule type="cellIs" dxfId="53" priority="18" operator="between">
      <formula>0.34</formula>
      <formula>0.1</formula>
    </cfRule>
    <cfRule type="cellIs" dxfId="52" priority="19" operator="between">
      <formula>0.59</formula>
      <formula>0.35</formula>
    </cfRule>
    <cfRule type="cellIs" dxfId="51" priority="20" operator="greaterThan">
      <formula>0.6</formula>
    </cfRule>
  </conditionalFormatting>
  <conditionalFormatting sqref="L3:L14">
    <cfRule type="dataBar" priority="7">
      <dataBar>
        <cfvo type="num" val="0"/>
        <cfvo type="num" val="1"/>
        <color rgb="FFFF5050"/>
      </dataBar>
      <extLst>
        <ext xmlns:x14="http://schemas.microsoft.com/office/spreadsheetml/2009/9/main" uri="{B025F937-C7B1-47D3-B67F-A62EFF666E3E}">
          <x14:id>{B7FC38E6-6A88-4507-B343-D3E13DECF353}</x14:id>
        </ext>
      </extLst>
    </cfRule>
  </conditionalFormatting>
  <conditionalFormatting sqref="A3:M14">
    <cfRule type="expression" dxfId="50" priority="1">
      <formula>$M3=TRUE</formula>
    </cfRule>
  </conditionalFormatting>
  <pageMargins left="0.7" right="0.7" top="0.75" bottom="0.75" header="0.3" footer="0.3"/>
  <pageSetup orientation="portrait" horizontalDpi="4294967293" verticalDpi="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BFB35E-B311-487C-81A3-903A4EB939DD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m:sqref>B3:B14</xm:sqref>
        </x14:conditionalFormatting>
        <x14:conditionalFormatting xmlns:xm="http://schemas.microsoft.com/office/excel/2006/main">
          <x14:cfRule type="dataBar" id="{B7FC38E6-6A88-4507-B343-D3E13DECF353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m:sqref>L3:L14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Monthly Budget</vt:lpstr>
      <vt:lpstr>Paycheck Budget</vt:lpstr>
      <vt:lpstr>Credit 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 Logan</dc:creator>
  <cp:lastModifiedBy>Sara Logan</cp:lastModifiedBy>
  <dcterms:created xsi:type="dcterms:W3CDTF">2024-09-17T17:20:51Z</dcterms:created>
  <dcterms:modified xsi:type="dcterms:W3CDTF">2026-10-08T19:13:43Z</dcterms:modified>
</cp:coreProperties>
</file>